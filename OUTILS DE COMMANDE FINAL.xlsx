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elkaderboukrourou/Desktop/BO.MOBILIER/"/>
    </mc:Choice>
  </mc:AlternateContent>
  <xr:revisionPtr revIDLastSave="0" documentId="8_{57C02E60-FC96-F943-A40C-8FFCD9CD2EE5}" xr6:coauthVersionLast="47" xr6:coauthVersionMax="47" xr10:uidLastSave="{00000000-0000-0000-0000-000000000000}"/>
  <bookViews>
    <workbookView xWindow="0" yWindow="500" windowWidth="33600" windowHeight="18900" firstSheet="23" activeTab="27" xr2:uid="{501BE3D8-18F5-3E46-891B-1F85AFE38EA5}"/>
  </bookViews>
  <sheets>
    <sheet name="DEBUT" sheetId="27" r:id="rId1"/>
    <sheet name="LINÉAIRE  VERRE Base + 8" sheetId="1" r:id="rId2"/>
    <sheet name="LINÉAIREVERRE BASE + 9" sheetId="3" r:id="rId3"/>
    <sheet name="LINÉAIRE Métal base + 7" sheetId="5" r:id="rId4"/>
    <sheet name="LINÉAIRE MÉTAL Base + 8" sheetId="2" r:id="rId5"/>
    <sheet name="LINÉAIRE MÉTAL Base + 9" sheetId="4" r:id="rId6"/>
    <sheet name="EXTENSIBLES" sheetId="6" r:id="rId7"/>
    <sheet name="EXTENSIBLE GONDOLE SIMPLE  " sheetId="23" r:id="rId8"/>
    <sheet name="BACS SOLDEURS" sheetId="25" r:id="rId9"/>
    <sheet name="GONDOLE SIMPLE 1400" sheetId="14" r:id="rId10"/>
    <sheet name="GONDOLE SIMPLE 1600" sheetId="15" r:id="rId11"/>
    <sheet name="GONDOLE SIMPLE 1800" sheetId="16" r:id="rId12"/>
    <sheet name="GONDOLE DOUBLE 1400" sheetId="11" r:id="rId13"/>
    <sheet name="GONDOLE DOUBLE 1600" sheetId="12" r:id="rId14"/>
    <sheet name="GONDOLE DOUBLE 1800" sheetId="13" r:id="rId15"/>
    <sheet name="FIN" sheetId="28" r:id="rId16"/>
    <sheet name="BLANCDEBUT" sheetId="29" r:id="rId17"/>
    <sheet name="BLANC BB" sheetId="8" r:id="rId18"/>
    <sheet name="BLANC OTC" sheetId="9" r:id="rId19"/>
    <sheet name="BLANC EXTENSIBLE" sheetId="10" r:id="rId20"/>
    <sheet name="BLANC EXTENSIBLE GONDOLE" sheetId="24" r:id="rId21"/>
    <sheet name="BLANC BACS SOLDEURS " sheetId="26" r:id="rId22"/>
    <sheet name="BLANC GONDOLE SIMPLE 1400 " sheetId="22" r:id="rId23"/>
    <sheet name="BLANC GONDOLE SIMPLE 1600 " sheetId="21" r:id="rId24"/>
    <sheet name="BLANC GONDOLE SIMPLE 1800 " sheetId="20" r:id="rId25"/>
    <sheet name="BLANC GONDOLE DOUBLE 1400 " sheetId="19" r:id="rId26"/>
    <sheet name="BLANC GONDOLE DOUBLE 1600 " sheetId="18" r:id="rId27"/>
    <sheet name="BLANC GONDOLE DOUBLE 1800 " sheetId="17" r:id="rId28"/>
    <sheet name="BLANCFIN" sheetId="30" r:id="rId29"/>
    <sheet name="TOTAL COM" sheetId="7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0" l="1"/>
  <c r="G67" i="10"/>
  <c r="E67" i="10"/>
  <c r="F60" i="10"/>
  <c r="G60" i="10"/>
  <c r="E60" i="10"/>
  <c r="F59" i="10"/>
  <c r="G59" i="10"/>
  <c r="E59" i="10"/>
  <c r="F58" i="10"/>
  <c r="G58" i="10"/>
  <c r="E58" i="10"/>
  <c r="G57" i="10"/>
  <c r="F57" i="10"/>
  <c r="E57" i="10"/>
  <c r="E56" i="10"/>
  <c r="F55" i="10"/>
  <c r="G54" i="10"/>
  <c r="F50" i="10"/>
  <c r="G50" i="10"/>
  <c r="E50" i="10"/>
  <c r="F67" i="6"/>
  <c r="G67" i="6"/>
  <c r="E67" i="6"/>
  <c r="F64" i="6"/>
  <c r="G64" i="6"/>
  <c r="E64" i="6"/>
  <c r="F60" i="6"/>
  <c r="G60" i="6"/>
  <c r="E60" i="6"/>
  <c r="F59" i="6"/>
  <c r="G59" i="6"/>
  <c r="E59" i="6"/>
  <c r="F58" i="6"/>
  <c r="G58" i="6"/>
  <c r="E58" i="6"/>
  <c r="F57" i="6"/>
  <c r="G57" i="6"/>
  <c r="E57" i="6"/>
  <c r="G54" i="6"/>
  <c r="F55" i="6"/>
  <c r="E56" i="6"/>
  <c r="F50" i="6"/>
  <c r="G50" i="6"/>
  <c r="E50" i="6"/>
  <c r="J64" i="8" l="1"/>
  <c r="J60" i="8"/>
  <c r="J59" i="8"/>
  <c r="J58" i="8"/>
  <c r="J57" i="8"/>
  <c r="J55" i="8"/>
  <c r="J50" i="8"/>
  <c r="J65" i="8"/>
  <c r="J49" i="8"/>
  <c r="J45" i="8"/>
  <c r="J22" i="8"/>
  <c r="J20" i="8"/>
  <c r="J7" i="8"/>
  <c r="J6" i="8"/>
  <c r="I20" i="8"/>
  <c r="I65" i="8"/>
  <c r="I22" i="8"/>
  <c r="I80" i="8"/>
  <c r="I79" i="8"/>
  <c r="I68" i="8"/>
  <c r="I67" i="8"/>
  <c r="I64" i="8"/>
  <c r="I60" i="8"/>
  <c r="I59" i="8"/>
  <c r="I58" i="8"/>
  <c r="I57" i="8"/>
  <c r="I55" i="8"/>
  <c r="I50" i="8"/>
  <c r="I49" i="8"/>
  <c r="I45" i="8"/>
  <c r="I7" i="8"/>
  <c r="I6" i="8"/>
  <c r="O8" i="1" l="1"/>
  <c r="O9" i="1"/>
  <c r="O12" i="1"/>
  <c r="O13" i="1"/>
  <c r="O14" i="1"/>
  <c r="O15" i="1"/>
  <c r="O16" i="1"/>
  <c r="O17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7" i="1"/>
  <c r="O38" i="1"/>
  <c r="O39" i="1"/>
  <c r="O44" i="1"/>
  <c r="O45" i="1"/>
  <c r="O46" i="1"/>
  <c r="O47" i="1"/>
  <c r="O51" i="1"/>
  <c r="O52" i="1"/>
  <c r="O53" i="1"/>
  <c r="O61" i="1"/>
  <c r="O62" i="1"/>
  <c r="O63" i="1"/>
  <c r="O65" i="1"/>
  <c r="O66" i="1"/>
  <c r="O69" i="1"/>
  <c r="O70" i="1"/>
  <c r="O71" i="1"/>
  <c r="O72" i="1"/>
  <c r="O73" i="1"/>
  <c r="O74" i="1"/>
  <c r="O75" i="1"/>
  <c r="O76" i="1"/>
  <c r="O83" i="1"/>
  <c r="O84" i="1"/>
  <c r="O85" i="1"/>
  <c r="O86" i="1"/>
  <c r="O87" i="1"/>
  <c r="O88" i="1"/>
  <c r="O89" i="1"/>
  <c r="O90" i="1"/>
  <c r="O5" i="25" l="1"/>
  <c r="O6" i="25"/>
  <c r="O7" i="25"/>
  <c r="O8" i="25"/>
  <c r="O9" i="25"/>
  <c r="O10" i="25"/>
  <c r="O11" i="25"/>
  <c r="O18" i="25"/>
  <c r="O19" i="25"/>
  <c r="O20" i="25"/>
  <c r="O21" i="25"/>
  <c r="O22" i="25"/>
  <c r="O23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4" i="25"/>
  <c r="O8" i="14"/>
  <c r="O9" i="14"/>
  <c r="O12" i="14"/>
  <c r="O13" i="14"/>
  <c r="O14" i="14"/>
  <c r="O15" i="14"/>
  <c r="O16" i="14"/>
  <c r="O17" i="14"/>
  <c r="O19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6" i="14"/>
  <c r="O47" i="14"/>
  <c r="O50" i="14"/>
  <c r="O51" i="14"/>
  <c r="O52" i="14"/>
  <c r="O56" i="14"/>
  <c r="O61" i="14"/>
  <c r="O65" i="14"/>
  <c r="O66" i="14"/>
  <c r="O67" i="14"/>
  <c r="O68" i="14"/>
  <c r="O69" i="14"/>
  <c r="O70" i="14"/>
  <c r="O71" i="14"/>
  <c r="O72" i="14"/>
  <c r="O75" i="14"/>
  <c r="O76" i="14"/>
  <c r="O81" i="14"/>
  <c r="O82" i="14"/>
  <c r="O83" i="14"/>
  <c r="O84" i="14"/>
  <c r="O85" i="14"/>
  <c r="O86" i="14"/>
  <c r="O87" i="14"/>
  <c r="O88" i="14"/>
  <c r="O89" i="14"/>
  <c r="O90" i="14"/>
  <c r="O6" i="15"/>
  <c r="O8" i="15"/>
  <c r="O9" i="15"/>
  <c r="O12" i="15"/>
  <c r="O13" i="15"/>
  <c r="O14" i="15"/>
  <c r="O15" i="15"/>
  <c r="O16" i="15"/>
  <c r="O17" i="15"/>
  <c r="O19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6" i="15"/>
  <c r="O47" i="15"/>
  <c r="O50" i="15"/>
  <c r="O51" i="15"/>
  <c r="O53" i="15"/>
  <c r="O56" i="15"/>
  <c r="O61" i="15"/>
  <c r="O65" i="15"/>
  <c r="O66" i="15"/>
  <c r="O67" i="15"/>
  <c r="O68" i="15"/>
  <c r="O69" i="15"/>
  <c r="O70" i="15"/>
  <c r="O73" i="15"/>
  <c r="O74" i="15"/>
  <c r="O75" i="15"/>
  <c r="O76" i="15"/>
  <c r="O81" i="15"/>
  <c r="O82" i="15"/>
  <c r="O83" i="15"/>
  <c r="O84" i="15"/>
  <c r="O85" i="15"/>
  <c r="O86" i="15"/>
  <c r="O87" i="15"/>
  <c r="O88" i="15"/>
  <c r="O89" i="15"/>
  <c r="O90" i="15"/>
  <c r="O8" i="16"/>
  <c r="O9" i="16"/>
  <c r="O12" i="16"/>
  <c r="O13" i="16"/>
  <c r="O14" i="16"/>
  <c r="O15" i="16"/>
  <c r="O16" i="16"/>
  <c r="O17" i="16"/>
  <c r="O19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6" i="16"/>
  <c r="O47" i="16"/>
  <c r="O50" i="16"/>
  <c r="O52" i="16"/>
  <c r="O53" i="16"/>
  <c r="O56" i="16"/>
  <c r="O61" i="16"/>
  <c r="O65" i="16"/>
  <c r="O66" i="16"/>
  <c r="O67" i="16"/>
  <c r="O68" i="16"/>
  <c r="O71" i="16"/>
  <c r="O72" i="16"/>
  <c r="O73" i="16"/>
  <c r="O74" i="16"/>
  <c r="O75" i="16"/>
  <c r="O76" i="16"/>
  <c r="O81" i="16"/>
  <c r="O82" i="16"/>
  <c r="O83" i="16"/>
  <c r="O84" i="16"/>
  <c r="O85" i="16"/>
  <c r="O86" i="16"/>
  <c r="O87" i="16"/>
  <c r="O88" i="16"/>
  <c r="O89" i="16"/>
  <c r="O90" i="16"/>
  <c r="O8" i="11"/>
  <c r="O9" i="11"/>
  <c r="O12" i="11"/>
  <c r="O13" i="11"/>
  <c r="O14" i="11"/>
  <c r="O15" i="11"/>
  <c r="O16" i="11"/>
  <c r="O17" i="11"/>
  <c r="O19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6" i="11"/>
  <c r="O47" i="11"/>
  <c r="O50" i="11"/>
  <c r="O51" i="11"/>
  <c r="O52" i="11"/>
  <c r="O56" i="11"/>
  <c r="O61" i="11"/>
  <c r="O65" i="11"/>
  <c r="O66" i="11"/>
  <c r="O67" i="11"/>
  <c r="O68" i="11"/>
  <c r="O69" i="11"/>
  <c r="O70" i="11"/>
  <c r="O71" i="11"/>
  <c r="O72" i="11"/>
  <c r="O75" i="11"/>
  <c r="O76" i="11"/>
  <c r="O81" i="11"/>
  <c r="O82" i="11"/>
  <c r="O83" i="11"/>
  <c r="O84" i="11"/>
  <c r="O85" i="11"/>
  <c r="O86" i="11"/>
  <c r="O87" i="11"/>
  <c r="O88" i="11"/>
  <c r="O89" i="11"/>
  <c r="O90" i="11"/>
  <c r="O6" i="12"/>
  <c r="O8" i="12"/>
  <c r="O9" i="12"/>
  <c r="O12" i="12"/>
  <c r="O13" i="12"/>
  <c r="O14" i="12"/>
  <c r="O15" i="12"/>
  <c r="O16" i="12"/>
  <c r="O17" i="12"/>
  <c r="O19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6" i="12"/>
  <c r="O47" i="12"/>
  <c r="O50" i="12"/>
  <c r="O51" i="12"/>
  <c r="O53" i="12"/>
  <c r="O56" i="12"/>
  <c r="O61" i="12"/>
  <c r="O65" i="12"/>
  <c r="O66" i="12"/>
  <c r="O67" i="12"/>
  <c r="O68" i="12"/>
  <c r="O69" i="12"/>
  <c r="O70" i="12"/>
  <c r="O73" i="12"/>
  <c r="O74" i="12"/>
  <c r="O75" i="12"/>
  <c r="O76" i="12"/>
  <c r="O81" i="12"/>
  <c r="O82" i="12"/>
  <c r="O83" i="12"/>
  <c r="O84" i="12"/>
  <c r="O85" i="12"/>
  <c r="O86" i="12"/>
  <c r="O87" i="12"/>
  <c r="O88" i="12"/>
  <c r="O89" i="12"/>
  <c r="O90" i="12"/>
  <c r="O91" i="12"/>
  <c r="O4" i="12"/>
  <c r="O8" i="13"/>
  <c r="O9" i="13"/>
  <c r="O12" i="13"/>
  <c r="O13" i="13"/>
  <c r="O14" i="13"/>
  <c r="O15" i="13"/>
  <c r="O16" i="13"/>
  <c r="O17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6" i="13"/>
  <c r="O47" i="13"/>
  <c r="O50" i="13"/>
  <c r="O52" i="13"/>
  <c r="O53" i="13"/>
  <c r="O56" i="13"/>
  <c r="O61" i="13"/>
  <c r="O65" i="13"/>
  <c r="O66" i="13"/>
  <c r="O67" i="13"/>
  <c r="O68" i="13"/>
  <c r="O71" i="13"/>
  <c r="O72" i="13"/>
  <c r="O73" i="13"/>
  <c r="O74" i="13"/>
  <c r="O75" i="13"/>
  <c r="O76" i="13"/>
  <c r="O81" i="13"/>
  <c r="O82" i="13"/>
  <c r="O83" i="13"/>
  <c r="O84" i="13"/>
  <c r="O85" i="13"/>
  <c r="O86" i="13"/>
  <c r="O87" i="13"/>
  <c r="O88" i="13"/>
  <c r="O89" i="13"/>
  <c r="O90" i="13"/>
  <c r="O8" i="8"/>
  <c r="O9" i="8"/>
  <c r="O10" i="8"/>
  <c r="O11" i="8"/>
  <c r="O12" i="8"/>
  <c r="O13" i="8"/>
  <c r="O14" i="8"/>
  <c r="O15" i="8"/>
  <c r="O16" i="8"/>
  <c r="O17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7" i="8"/>
  <c r="O51" i="8"/>
  <c r="O52" i="8"/>
  <c r="O53" i="8"/>
  <c r="O54" i="8"/>
  <c r="O61" i="8"/>
  <c r="O62" i="8"/>
  <c r="O63" i="8"/>
  <c r="O66" i="8"/>
  <c r="O69" i="8"/>
  <c r="O70" i="8"/>
  <c r="O71" i="8"/>
  <c r="O72" i="8"/>
  <c r="O73" i="8"/>
  <c r="O74" i="8"/>
  <c r="O75" i="8"/>
  <c r="O76" i="8"/>
  <c r="O77" i="8"/>
  <c r="O78" i="8"/>
  <c r="O83" i="8"/>
  <c r="O84" i="8"/>
  <c r="O85" i="8"/>
  <c r="O86" i="8"/>
  <c r="O87" i="8"/>
  <c r="O88" i="8"/>
  <c r="O89" i="8"/>
  <c r="O90" i="8"/>
  <c r="O22" i="8"/>
  <c r="O5" i="26"/>
  <c r="O6" i="26"/>
  <c r="O7" i="26"/>
  <c r="O8" i="26"/>
  <c r="O9" i="26"/>
  <c r="O10" i="26"/>
  <c r="O11" i="26"/>
  <c r="O18" i="26"/>
  <c r="O19" i="26"/>
  <c r="O20" i="26"/>
  <c r="O21" i="26"/>
  <c r="O22" i="26"/>
  <c r="O23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4" i="26"/>
  <c r="O8" i="22"/>
  <c r="O9" i="22"/>
  <c r="O12" i="22"/>
  <c r="O13" i="22"/>
  <c r="O14" i="22"/>
  <c r="O15" i="22"/>
  <c r="O16" i="22"/>
  <c r="O17" i="22"/>
  <c r="O19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6" i="22"/>
  <c r="O47" i="22"/>
  <c r="O50" i="22"/>
  <c r="O51" i="22"/>
  <c r="O52" i="22"/>
  <c r="O56" i="22"/>
  <c r="O61" i="22"/>
  <c r="O65" i="22"/>
  <c r="O66" i="22"/>
  <c r="O67" i="22"/>
  <c r="O68" i="22"/>
  <c r="O69" i="22"/>
  <c r="O70" i="22"/>
  <c r="O71" i="22"/>
  <c r="O72" i="22"/>
  <c r="O75" i="22"/>
  <c r="O76" i="22"/>
  <c r="O81" i="22"/>
  <c r="O82" i="22"/>
  <c r="O83" i="22"/>
  <c r="O84" i="22"/>
  <c r="O85" i="22"/>
  <c r="O86" i="22"/>
  <c r="O87" i="22"/>
  <c r="O88" i="22"/>
  <c r="O89" i="22"/>
  <c r="O90" i="22"/>
  <c r="O8" i="17"/>
  <c r="O12" i="17"/>
  <c r="O13" i="17"/>
  <c r="O14" i="17"/>
  <c r="O15" i="17"/>
  <c r="O16" i="17"/>
  <c r="O17" i="17"/>
  <c r="O19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6" i="17"/>
  <c r="O47" i="17"/>
  <c r="O50" i="17"/>
  <c r="O52" i="17"/>
  <c r="O53" i="17"/>
  <c r="O56" i="17"/>
  <c r="O61" i="17"/>
  <c r="O65" i="17"/>
  <c r="O66" i="17"/>
  <c r="O67" i="17"/>
  <c r="O68" i="17"/>
  <c r="O71" i="17"/>
  <c r="O72" i="17"/>
  <c r="O73" i="17"/>
  <c r="O74" i="17"/>
  <c r="O75" i="17"/>
  <c r="O76" i="17"/>
  <c r="O81" i="17"/>
  <c r="O82" i="17"/>
  <c r="O83" i="17"/>
  <c r="O84" i="17"/>
  <c r="O85" i="17"/>
  <c r="O86" i="17"/>
  <c r="O87" i="17"/>
  <c r="O88" i="17"/>
  <c r="O89" i="17"/>
  <c r="O90" i="17"/>
  <c r="O6" i="18"/>
  <c r="O8" i="18"/>
  <c r="O9" i="18"/>
  <c r="O12" i="18"/>
  <c r="O13" i="18"/>
  <c r="O14" i="18"/>
  <c r="O15" i="18"/>
  <c r="O16" i="18"/>
  <c r="O17" i="18"/>
  <c r="O19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6" i="18"/>
  <c r="O47" i="18"/>
  <c r="O50" i="18"/>
  <c r="O51" i="18"/>
  <c r="O53" i="18"/>
  <c r="O56" i="18"/>
  <c r="O61" i="18"/>
  <c r="O65" i="18"/>
  <c r="O66" i="18"/>
  <c r="O67" i="18"/>
  <c r="O68" i="18"/>
  <c r="O69" i="18"/>
  <c r="O70" i="18"/>
  <c r="O73" i="18"/>
  <c r="O74" i="18"/>
  <c r="O75" i="18"/>
  <c r="O76" i="18"/>
  <c r="O81" i="18"/>
  <c r="O82" i="18"/>
  <c r="O83" i="18"/>
  <c r="O84" i="18"/>
  <c r="O85" i="18"/>
  <c r="O86" i="18"/>
  <c r="O87" i="18"/>
  <c r="O88" i="18"/>
  <c r="O89" i="18"/>
  <c r="O90" i="18"/>
  <c r="O91" i="18"/>
  <c r="O4" i="18"/>
  <c r="O8" i="19"/>
  <c r="O9" i="19"/>
  <c r="O12" i="19"/>
  <c r="O13" i="19"/>
  <c r="O14" i="19"/>
  <c r="O15" i="19"/>
  <c r="O16" i="19"/>
  <c r="O17" i="19"/>
  <c r="O19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6" i="19"/>
  <c r="O47" i="19"/>
  <c r="O50" i="19"/>
  <c r="O51" i="19"/>
  <c r="O52" i="19"/>
  <c r="O56" i="19"/>
  <c r="O61" i="19"/>
  <c r="O65" i="19"/>
  <c r="O66" i="19"/>
  <c r="O67" i="19"/>
  <c r="O68" i="19"/>
  <c r="O69" i="19"/>
  <c r="O70" i="19"/>
  <c r="O71" i="19"/>
  <c r="O72" i="19"/>
  <c r="O75" i="19"/>
  <c r="O76" i="19"/>
  <c r="O81" i="19"/>
  <c r="O82" i="19"/>
  <c r="O83" i="19"/>
  <c r="O84" i="19"/>
  <c r="O85" i="19"/>
  <c r="O86" i="19"/>
  <c r="O87" i="19"/>
  <c r="O88" i="19"/>
  <c r="O89" i="19"/>
  <c r="O90" i="19"/>
  <c r="O8" i="20"/>
  <c r="O9" i="20"/>
  <c r="O12" i="20"/>
  <c r="O13" i="20"/>
  <c r="O14" i="20"/>
  <c r="O15" i="20"/>
  <c r="O16" i="20"/>
  <c r="O17" i="20"/>
  <c r="O19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6" i="20"/>
  <c r="O47" i="20"/>
  <c r="O50" i="20"/>
  <c r="O52" i="20"/>
  <c r="O53" i="20"/>
  <c r="O56" i="20"/>
  <c r="O61" i="20"/>
  <c r="O65" i="20"/>
  <c r="O66" i="20"/>
  <c r="O67" i="20"/>
  <c r="O68" i="20"/>
  <c r="O71" i="20"/>
  <c r="O72" i="20"/>
  <c r="O73" i="20"/>
  <c r="O74" i="20"/>
  <c r="O75" i="20"/>
  <c r="O76" i="20"/>
  <c r="O81" i="20"/>
  <c r="O82" i="20"/>
  <c r="O83" i="20"/>
  <c r="O84" i="20"/>
  <c r="O85" i="20"/>
  <c r="O86" i="20"/>
  <c r="O87" i="20"/>
  <c r="O88" i="20"/>
  <c r="O89" i="20"/>
  <c r="O90" i="20"/>
  <c r="O6" i="21"/>
  <c r="O8" i="21"/>
  <c r="O9" i="21"/>
  <c r="O12" i="21"/>
  <c r="O13" i="21"/>
  <c r="O14" i="21"/>
  <c r="O15" i="21"/>
  <c r="O16" i="21"/>
  <c r="O17" i="21"/>
  <c r="O19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6" i="21"/>
  <c r="O47" i="21"/>
  <c r="O50" i="21"/>
  <c r="O51" i="21"/>
  <c r="O53" i="21"/>
  <c r="O56" i="21"/>
  <c r="O61" i="21"/>
  <c r="O65" i="21"/>
  <c r="O66" i="21"/>
  <c r="O67" i="21"/>
  <c r="O68" i="21"/>
  <c r="O69" i="21"/>
  <c r="O70" i="21"/>
  <c r="O73" i="21"/>
  <c r="O74" i="21"/>
  <c r="O75" i="21"/>
  <c r="O76" i="21"/>
  <c r="O81" i="21"/>
  <c r="O82" i="21"/>
  <c r="O83" i="21"/>
  <c r="O84" i="21"/>
  <c r="O85" i="21"/>
  <c r="O86" i="21"/>
  <c r="O87" i="21"/>
  <c r="O88" i="21"/>
  <c r="O89" i="21"/>
  <c r="O90" i="21"/>
  <c r="P90" i="26" l="1"/>
  <c r="P89" i="26"/>
  <c r="P88" i="26"/>
  <c r="P87" i="26"/>
  <c r="P86" i="26"/>
  <c r="P85" i="26"/>
  <c r="P84" i="26"/>
  <c r="P83" i="26"/>
  <c r="P82" i="26"/>
  <c r="P81" i="26"/>
  <c r="P80" i="26"/>
  <c r="P79" i="26"/>
  <c r="P78" i="26"/>
  <c r="P77" i="26"/>
  <c r="P76" i="26"/>
  <c r="P75" i="26"/>
  <c r="P74" i="26"/>
  <c r="P73" i="26"/>
  <c r="P72" i="26"/>
  <c r="P71" i="26"/>
  <c r="P70" i="26"/>
  <c r="P69" i="26"/>
  <c r="P68" i="26"/>
  <c r="P67" i="26"/>
  <c r="P66" i="26"/>
  <c r="P65" i="26"/>
  <c r="P64" i="26"/>
  <c r="P63" i="26"/>
  <c r="P62" i="26"/>
  <c r="P61" i="26"/>
  <c r="P60" i="26"/>
  <c r="P59" i="26"/>
  <c r="P58" i="26"/>
  <c r="P57" i="26"/>
  <c r="P56" i="26"/>
  <c r="P55" i="26"/>
  <c r="P54" i="26"/>
  <c r="P53" i="26"/>
  <c r="P52" i="26"/>
  <c r="P51" i="26"/>
  <c r="P50" i="26"/>
  <c r="P49" i="26"/>
  <c r="P48" i="26"/>
  <c r="P47" i="26"/>
  <c r="P46" i="26"/>
  <c r="P45" i="26"/>
  <c r="P44" i="26"/>
  <c r="P43" i="26"/>
  <c r="P42" i="26"/>
  <c r="P41" i="26"/>
  <c r="P40" i="26"/>
  <c r="P39" i="26"/>
  <c r="P38" i="26"/>
  <c r="P37" i="26"/>
  <c r="P36" i="26"/>
  <c r="P35" i="26"/>
  <c r="P34" i="26"/>
  <c r="P33" i="26"/>
  <c r="P32" i="26"/>
  <c r="P31" i="26"/>
  <c r="J30" i="26"/>
  <c r="I30" i="26"/>
  <c r="H30" i="26"/>
  <c r="G29" i="26"/>
  <c r="F29" i="26"/>
  <c r="E29" i="26"/>
  <c r="H28" i="26"/>
  <c r="E28" i="26"/>
  <c r="I27" i="26"/>
  <c r="F27" i="26"/>
  <c r="J26" i="26"/>
  <c r="G26" i="26"/>
  <c r="J25" i="26"/>
  <c r="I25" i="26"/>
  <c r="H25" i="26"/>
  <c r="G25" i="26"/>
  <c r="F25" i="26"/>
  <c r="E25" i="26"/>
  <c r="J24" i="26"/>
  <c r="I24" i="26"/>
  <c r="H24" i="26"/>
  <c r="G24" i="26"/>
  <c r="F24" i="26"/>
  <c r="E24" i="26"/>
  <c r="P23" i="26"/>
  <c r="P22" i="26"/>
  <c r="P21" i="26"/>
  <c r="P20" i="26"/>
  <c r="P19" i="26"/>
  <c r="P18" i="26"/>
  <c r="H17" i="26"/>
  <c r="I16" i="26"/>
  <c r="O16" i="26" s="1"/>
  <c r="P16" i="26" s="1"/>
  <c r="J15" i="26"/>
  <c r="O15" i="26" s="1"/>
  <c r="P15" i="26" s="1"/>
  <c r="E14" i="26"/>
  <c r="O14" i="26" s="1"/>
  <c r="P14" i="26" s="1"/>
  <c r="F13" i="26"/>
  <c r="G12" i="26"/>
  <c r="P11" i="26"/>
  <c r="P10" i="26"/>
  <c r="P9" i="26"/>
  <c r="P8" i="26"/>
  <c r="P7" i="26"/>
  <c r="P6" i="26"/>
  <c r="P5" i="26"/>
  <c r="P4" i="26"/>
  <c r="J15" i="25"/>
  <c r="O15" i="25" s="1"/>
  <c r="J26" i="25"/>
  <c r="I27" i="25"/>
  <c r="I16" i="25"/>
  <c r="O16" i="25" s="1"/>
  <c r="H28" i="25"/>
  <c r="H17" i="25"/>
  <c r="O17" i="25" s="1"/>
  <c r="G26" i="25"/>
  <c r="O26" i="25" s="1"/>
  <c r="G12" i="25"/>
  <c r="O12" i="25" s="1"/>
  <c r="I30" i="25"/>
  <c r="J30" i="25"/>
  <c r="H30" i="25"/>
  <c r="F29" i="25"/>
  <c r="G29" i="25"/>
  <c r="F27" i="25"/>
  <c r="F13" i="25"/>
  <c r="O13" i="25" s="1"/>
  <c r="F25" i="25"/>
  <c r="G25" i="25"/>
  <c r="H25" i="25"/>
  <c r="I25" i="25"/>
  <c r="J25" i="25"/>
  <c r="F24" i="25"/>
  <c r="G24" i="25"/>
  <c r="H24" i="25"/>
  <c r="I24" i="25"/>
  <c r="J24" i="25"/>
  <c r="E29" i="25"/>
  <c r="E28" i="25"/>
  <c r="E25" i="25"/>
  <c r="E24" i="25"/>
  <c r="P28" i="1"/>
  <c r="O28" i="3"/>
  <c r="P28" i="3" s="1"/>
  <c r="O28" i="5"/>
  <c r="P28" i="5" s="1"/>
  <c r="O28" i="2"/>
  <c r="P28" i="2" s="1"/>
  <c r="O28" i="4"/>
  <c r="P28" i="4" s="1"/>
  <c r="O28" i="6"/>
  <c r="P28" i="6" s="1"/>
  <c r="O28" i="23"/>
  <c r="P28" i="23" s="1"/>
  <c r="P28" i="14"/>
  <c r="P28" i="15"/>
  <c r="P28" i="16"/>
  <c r="P28" i="11"/>
  <c r="P28" i="12"/>
  <c r="P28" i="13"/>
  <c r="P28" i="8"/>
  <c r="O28" i="9"/>
  <c r="P28" i="9" s="1"/>
  <c r="O28" i="10"/>
  <c r="P28" i="10" s="1"/>
  <c r="O28" i="24"/>
  <c r="P28" i="24" s="1"/>
  <c r="P28" i="22"/>
  <c r="P28" i="21"/>
  <c r="P28" i="20"/>
  <c r="P28" i="19"/>
  <c r="P28" i="18"/>
  <c r="P28" i="17"/>
  <c r="E14" i="25"/>
  <c r="O14" i="25" s="1"/>
  <c r="P30" i="1"/>
  <c r="O30" i="3"/>
  <c r="P30" i="3" s="1"/>
  <c r="O30" i="5"/>
  <c r="P30" i="5" s="1"/>
  <c r="O30" i="2"/>
  <c r="P30" i="2" s="1"/>
  <c r="O30" i="4"/>
  <c r="P30" i="4" s="1"/>
  <c r="O30" i="6"/>
  <c r="P30" i="6" s="1"/>
  <c r="O30" i="23"/>
  <c r="P30" i="23" s="1"/>
  <c r="P30" i="14"/>
  <c r="P30" i="15"/>
  <c r="P30" i="16"/>
  <c r="P30" i="11"/>
  <c r="P30" i="12"/>
  <c r="P30" i="13"/>
  <c r="P30" i="8"/>
  <c r="O30" i="9"/>
  <c r="P30" i="9" s="1"/>
  <c r="O30" i="10"/>
  <c r="P30" i="10" s="1"/>
  <c r="O30" i="24"/>
  <c r="P30" i="24" s="1"/>
  <c r="P30" i="22"/>
  <c r="P30" i="21"/>
  <c r="P30" i="20"/>
  <c r="P30" i="19"/>
  <c r="P30" i="18"/>
  <c r="P30" i="17"/>
  <c r="P17" i="1"/>
  <c r="O17" i="3"/>
  <c r="P17" i="3" s="1"/>
  <c r="O17" i="5"/>
  <c r="P17" i="5" s="1"/>
  <c r="O17" i="2"/>
  <c r="P17" i="2" s="1"/>
  <c r="P17" i="4"/>
  <c r="O17" i="4"/>
  <c r="O17" i="6"/>
  <c r="P17" i="6" s="1"/>
  <c r="O17" i="23"/>
  <c r="P17" i="23" s="1"/>
  <c r="P17" i="14"/>
  <c r="P17" i="15"/>
  <c r="P17" i="16"/>
  <c r="P17" i="11"/>
  <c r="P17" i="12"/>
  <c r="P17" i="13"/>
  <c r="P17" i="8"/>
  <c r="O17" i="9"/>
  <c r="P17" i="9" s="1"/>
  <c r="O17" i="10"/>
  <c r="P17" i="10" s="1"/>
  <c r="O17" i="24"/>
  <c r="P17" i="24" s="1"/>
  <c r="P17" i="22"/>
  <c r="P17" i="21"/>
  <c r="P17" i="20"/>
  <c r="P17" i="19"/>
  <c r="P17" i="18"/>
  <c r="P17" i="17"/>
  <c r="P16" i="1"/>
  <c r="O16" i="3"/>
  <c r="P16" i="3" s="1"/>
  <c r="O16" i="5"/>
  <c r="P16" i="5" s="1"/>
  <c r="O16" i="2"/>
  <c r="P16" i="2" s="1"/>
  <c r="O16" i="4"/>
  <c r="P16" i="4" s="1"/>
  <c r="O16" i="6"/>
  <c r="P16" i="6" s="1"/>
  <c r="O16" i="23"/>
  <c r="P16" i="23" s="1"/>
  <c r="P16" i="14"/>
  <c r="P16" i="15"/>
  <c r="P16" i="16"/>
  <c r="P16" i="11"/>
  <c r="P16" i="12"/>
  <c r="P16" i="13"/>
  <c r="P16" i="8"/>
  <c r="O16" i="9"/>
  <c r="P16" i="9" s="1"/>
  <c r="O16" i="10"/>
  <c r="P16" i="10" s="1"/>
  <c r="O16" i="24"/>
  <c r="P16" i="24" s="1"/>
  <c r="P16" i="22"/>
  <c r="P16" i="21"/>
  <c r="P16" i="20"/>
  <c r="P16" i="19"/>
  <c r="P16" i="18"/>
  <c r="P16" i="17"/>
  <c r="P15" i="1"/>
  <c r="O15" i="3"/>
  <c r="P15" i="3" s="1"/>
  <c r="O15" i="5"/>
  <c r="P15" i="5" s="1"/>
  <c r="O15" i="2"/>
  <c r="P15" i="2" s="1"/>
  <c r="O15" i="4"/>
  <c r="P15" i="4" s="1"/>
  <c r="O15" i="6"/>
  <c r="P15" i="6" s="1"/>
  <c r="O15" i="23"/>
  <c r="P15" i="23" s="1"/>
  <c r="P15" i="14"/>
  <c r="P15" i="15"/>
  <c r="P15" i="16"/>
  <c r="P15" i="11"/>
  <c r="P15" i="12"/>
  <c r="P15" i="13"/>
  <c r="P15" i="8"/>
  <c r="O15" i="9"/>
  <c r="P15" i="9" s="1"/>
  <c r="O15" i="10"/>
  <c r="P15" i="10" s="1"/>
  <c r="O15" i="24"/>
  <c r="P15" i="24" s="1"/>
  <c r="P15" i="22"/>
  <c r="P15" i="21"/>
  <c r="P15" i="20"/>
  <c r="P15" i="19"/>
  <c r="P15" i="18"/>
  <c r="P15" i="17"/>
  <c r="P15" i="25"/>
  <c r="O14" i="3"/>
  <c r="P14" i="3" s="1"/>
  <c r="O14" i="5"/>
  <c r="P14" i="5" s="1"/>
  <c r="O14" i="2"/>
  <c r="P14" i="2" s="1"/>
  <c r="O14" i="4"/>
  <c r="P14" i="4" s="1"/>
  <c r="O14" i="6"/>
  <c r="P14" i="6" s="1"/>
  <c r="O14" i="23"/>
  <c r="P14" i="23" s="1"/>
  <c r="P14" i="14"/>
  <c r="P14" i="15"/>
  <c r="P14" i="16"/>
  <c r="P14" i="11"/>
  <c r="P14" i="12"/>
  <c r="P14" i="13"/>
  <c r="P14" i="8"/>
  <c r="O14" i="9"/>
  <c r="P14" i="9" s="1"/>
  <c r="O14" i="10"/>
  <c r="P14" i="10" s="1"/>
  <c r="O14" i="24"/>
  <c r="P14" i="24" s="1"/>
  <c r="P14" i="22"/>
  <c r="P14" i="21"/>
  <c r="P14" i="20"/>
  <c r="P14" i="19"/>
  <c r="P14" i="18"/>
  <c r="P14" i="17"/>
  <c r="O13" i="3"/>
  <c r="P13" i="3" s="1"/>
  <c r="O13" i="5"/>
  <c r="P13" i="5" s="1"/>
  <c r="O13" i="2"/>
  <c r="P13" i="2" s="1"/>
  <c r="O13" i="4"/>
  <c r="P13" i="4" s="1"/>
  <c r="O13" i="6"/>
  <c r="P13" i="6" s="1"/>
  <c r="O13" i="23"/>
  <c r="P13" i="23" s="1"/>
  <c r="P13" i="14"/>
  <c r="P13" i="15"/>
  <c r="P13" i="16"/>
  <c r="P13" i="11"/>
  <c r="P13" i="12"/>
  <c r="P13" i="13"/>
  <c r="P13" i="8"/>
  <c r="O13" i="9"/>
  <c r="P13" i="9" s="1"/>
  <c r="O13" i="10"/>
  <c r="P13" i="10" s="1"/>
  <c r="O13" i="24"/>
  <c r="P13" i="24" s="1"/>
  <c r="P13" i="22"/>
  <c r="P13" i="21"/>
  <c r="P13" i="20"/>
  <c r="P13" i="19"/>
  <c r="P13" i="18"/>
  <c r="P13" i="17"/>
  <c r="P13" i="25"/>
  <c r="P90" i="25"/>
  <c r="P89" i="25"/>
  <c r="P88" i="25"/>
  <c r="P87" i="25"/>
  <c r="P86" i="25"/>
  <c r="P85" i="25"/>
  <c r="P84" i="25"/>
  <c r="P83" i="25"/>
  <c r="P82" i="25"/>
  <c r="P81" i="25"/>
  <c r="P80" i="25"/>
  <c r="P79" i="25"/>
  <c r="P78" i="25"/>
  <c r="P77" i="25"/>
  <c r="P76" i="25"/>
  <c r="P75" i="25"/>
  <c r="P74" i="25"/>
  <c r="P73" i="25"/>
  <c r="P72" i="25"/>
  <c r="P71" i="25"/>
  <c r="P70" i="25"/>
  <c r="P69" i="25"/>
  <c r="P68" i="25"/>
  <c r="P67" i="25"/>
  <c r="P66" i="25"/>
  <c r="P65" i="25"/>
  <c r="P64" i="25"/>
  <c r="P63" i="25"/>
  <c r="P62" i="25"/>
  <c r="P61" i="25"/>
  <c r="P60" i="25"/>
  <c r="P59" i="25"/>
  <c r="P58" i="25"/>
  <c r="P57" i="25"/>
  <c r="P56" i="25"/>
  <c r="P55" i="25"/>
  <c r="P54" i="25"/>
  <c r="P53" i="25"/>
  <c r="P52" i="25"/>
  <c r="P51" i="25"/>
  <c r="P50" i="25"/>
  <c r="P49" i="25"/>
  <c r="P48" i="25"/>
  <c r="P47" i="25"/>
  <c r="P46" i="25"/>
  <c r="P45" i="25"/>
  <c r="P44" i="25"/>
  <c r="P43" i="25"/>
  <c r="P42" i="25"/>
  <c r="P41" i="25"/>
  <c r="P40" i="25"/>
  <c r="P39" i="25"/>
  <c r="P38" i="25"/>
  <c r="P37" i="25"/>
  <c r="P36" i="25"/>
  <c r="P35" i="25"/>
  <c r="P34" i="25"/>
  <c r="P33" i="25"/>
  <c r="P32" i="25"/>
  <c r="P31" i="25"/>
  <c r="P23" i="25"/>
  <c r="P22" i="25"/>
  <c r="P21" i="25"/>
  <c r="P20" i="25"/>
  <c r="P19" i="25"/>
  <c r="P18" i="25"/>
  <c r="P11" i="25"/>
  <c r="P10" i="25"/>
  <c r="P9" i="25"/>
  <c r="P8" i="25"/>
  <c r="P7" i="25"/>
  <c r="P6" i="25"/>
  <c r="P5" i="25"/>
  <c r="P4" i="25"/>
  <c r="O29" i="26" l="1"/>
  <c r="O29" i="25"/>
  <c r="O24" i="26"/>
  <c r="P24" i="26" s="1"/>
  <c r="O28" i="26"/>
  <c r="P28" i="26" s="1"/>
  <c r="O12" i="26"/>
  <c r="P12" i="26" s="1"/>
  <c r="O13" i="26"/>
  <c r="P13" i="26" s="1"/>
  <c r="F17" i="7"/>
  <c r="P29" i="26"/>
  <c r="G14" i="7"/>
  <c r="F14" i="7"/>
  <c r="F16" i="7"/>
  <c r="O30" i="26"/>
  <c r="G30" i="7" s="1"/>
  <c r="O27" i="25"/>
  <c r="P27" i="25" s="1"/>
  <c r="O25" i="26"/>
  <c r="P25" i="26" s="1"/>
  <c r="F15" i="7"/>
  <c r="G15" i="7"/>
  <c r="O17" i="26"/>
  <c r="P17" i="26" s="1"/>
  <c r="G16" i="7"/>
  <c r="G17" i="7"/>
  <c r="G28" i="7"/>
  <c r="G13" i="7"/>
  <c r="O26" i="26"/>
  <c r="P26" i="26" s="1"/>
  <c r="P13" i="1"/>
  <c r="F13" i="7"/>
  <c r="P14" i="25"/>
  <c r="P16" i="25"/>
  <c r="O30" i="25"/>
  <c r="F30" i="7" s="1"/>
  <c r="O27" i="26"/>
  <c r="P27" i="26" s="1"/>
  <c r="P29" i="25"/>
  <c r="O28" i="25"/>
  <c r="F28" i="7" s="1"/>
  <c r="O25" i="25"/>
  <c r="O24" i="25"/>
  <c r="P17" i="25"/>
  <c r="P12" i="25"/>
  <c r="P26" i="25"/>
  <c r="P14" i="1"/>
  <c r="O90" i="24"/>
  <c r="P90" i="24" s="1"/>
  <c r="O89" i="24"/>
  <c r="P89" i="24" s="1"/>
  <c r="O88" i="24"/>
  <c r="P88" i="24" s="1"/>
  <c r="O87" i="24"/>
  <c r="P87" i="24" s="1"/>
  <c r="O86" i="24"/>
  <c r="P86" i="24" s="1"/>
  <c r="O85" i="24"/>
  <c r="P85" i="24" s="1"/>
  <c r="O84" i="24"/>
  <c r="P84" i="24" s="1"/>
  <c r="O83" i="24"/>
  <c r="P83" i="24" s="1"/>
  <c r="I82" i="24"/>
  <c r="O82" i="24" s="1"/>
  <c r="P82" i="24" s="1"/>
  <c r="I81" i="24"/>
  <c r="O81" i="24" s="1"/>
  <c r="P81" i="24" s="1"/>
  <c r="J80" i="24"/>
  <c r="G80" i="24"/>
  <c r="E80" i="24"/>
  <c r="J79" i="24"/>
  <c r="G79" i="24"/>
  <c r="E79" i="24"/>
  <c r="H78" i="24"/>
  <c r="F78" i="24"/>
  <c r="O78" i="24" s="1"/>
  <c r="P78" i="24" s="1"/>
  <c r="H77" i="24"/>
  <c r="F77" i="24"/>
  <c r="J76" i="24"/>
  <c r="I76" i="24"/>
  <c r="H76" i="24"/>
  <c r="G76" i="24"/>
  <c r="F76" i="24"/>
  <c r="E76" i="24"/>
  <c r="O75" i="24"/>
  <c r="P75" i="24" s="1"/>
  <c r="F74" i="24"/>
  <c r="E74" i="24"/>
  <c r="F73" i="24"/>
  <c r="E73" i="24"/>
  <c r="H72" i="24"/>
  <c r="G72" i="24"/>
  <c r="H71" i="24"/>
  <c r="G71" i="24"/>
  <c r="O71" i="24" s="1"/>
  <c r="P71" i="24" s="1"/>
  <c r="J70" i="24"/>
  <c r="I70" i="24"/>
  <c r="O70" i="24" s="1"/>
  <c r="P70" i="24" s="1"/>
  <c r="J69" i="24"/>
  <c r="I69" i="24"/>
  <c r="O68" i="24"/>
  <c r="P68" i="24" s="1"/>
  <c r="O67" i="24"/>
  <c r="P67" i="24" s="1"/>
  <c r="O66" i="24"/>
  <c r="P66" i="24" s="1"/>
  <c r="O65" i="24"/>
  <c r="P65" i="24" s="1"/>
  <c r="J64" i="24"/>
  <c r="H64" i="24"/>
  <c r="G64" i="24"/>
  <c r="F64" i="24"/>
  <c r="E64" i="24"/>
  <c r="O63" i="24"/>
  <c r="P63" i="24" s="1"/>
  <c r="O62" i="24"/>
  <c r="P62" i="24" s="1"/>
  <c r="O61" i="24"/>
  <c r="P61" i="24" s="1"/>
  <c r="J60" i="24"/>
  <c r="I60" i="24"/>
  <c r="H60" i="24"/>
  <c r="G60" i="24"/>
  <c r="F60" i="24"/>
  <c r="E60" i="24"/>
  <c r="J59" i="24"/>
  <c r="I59" i="24"/>
  <c r="H59" i="24"/>
  <c r="G59" i="24"/>
  <c r="F59" i="24"/>
  <c r="E59" i="24"/>
  <c r="J58" i="24"/>
  <c r="I58" i="24"/>
  <c r="H58" i="24"/>
  <c r="G58" i="24"/>
  <c r="F58" i="24"/>
  <c r="E58" i="24"/>
  <c r="J57" i="24"/>
  <c r="I57" i="24"/>
  <c r="H57" i="24"/>
  <c r="G57" i="24"/>
  <c r="F57" i="24"/>
  <c r="E57" i="24"/>
  <c r="I56" i="24"/>
  <c r="O56" i="24" s="1"/>
  <c r="P56" i="24" s="1"/>
  <c r="J55" i="24"/>
  <c r="G55" i="24"/>
  <c r="E55" i="24"/>
  <c r="O55" i="24" s="1"/>
  <c r="P55" i="24" s="1"/>
  <c r="H54" i="24"/>
  <c r="F54" i="24"/>
  <c r="F53" i="24"/>
  <c r="E53" i="24"/>
  <c r="O53" i="24" s="1"/>
  <c r="P53" i="24" s="1"/>
  <c r="H52" i="24"/>
  <c r="G52" i="24"/>
  <c r="J51" i="24"/>
  <c r="I51" i="24"/>
  <c r="O50" i="24"/>
  <c r="P50" i="24" s="1"/>
  <c r="O49" i="24"/>
  <c r="P49" i="24" s="1"/>
  <c r="O48" i="24"/>
  <c r="P48" i="24" s="1"/>
  <c r="J47" i="24"/>
  <c r="I47" i="24"/>
  <c r="H47" i="24"/>
  <c r="G47" i="24"/>
  <c r="F47" i="24"/>
  <c r="E47" i="24"/>
  <c r="I46" i="24"/>
  <c r="O46" i="24" s="1"/>
  <c r="P46" i="24" s="1"/>
  <c r="J45" i="24"/>
  <c r="G45" i="24"/>
  <c r="E45" i="24"/>
  <c r="H44" i="24"/>
  <c r="F44" i="24"/>
  <c r="O43" i="24"/>
  <c r="P43" i="24" s="1"/>
  <c r="O42" i="24"/>
  <c r="P42" i="24" s="1"/>
  <c r="O41" i="24"/>
  <c r="P41" i="24" s="1"/>
  <c r="O40" i="24"/>
  <c r="P40" i="24" s="1"/>
  <c r="I39" i="24"/>
  <c r="O39" i="24" s="1"/>
  <c r="P39" i="24" s="1"/>
  <c r="J38" i="24"/>
  <c r="G38" i="24"/>
  <c r="E38" i="24"/>
  <c r="H37" i="24"/>
  <c r="F37" i="24"/>
  <c r="O36" i="24"/>
  <c r="P36" i="24" s="1"/>
  <c r="O35" i="24"/>
  <c r="P35" i="24" s="1"/>
  <c r="O34" i="24"/>
  <c r="P34" i="24" s="1"/>
  <c r="O33" i="24"/>
  <c r="P33" i="24" s="1"/>
  <c r="O32" i="24"/>
  <c r="P32" i="24" s="1"/>
  <c r="O31" i="24"/>
  <c r="P31" i="24" s="1"/>
  <c r="O29" i="24"/>
  <c r="P29" i="24" s="1"/>
  <c r="O27" i="24"/>
  <c r="P27" i="24" s="1"/>
  <c r="O26" i="24"/>
  <c r="P26" i="24" s="1"/>
  <c r="O25" i="24"/>
  <c r="P25" i="24" s="1"/>
  <c r="O24" i="24"/>
  <c r="P24" i="24" s="1"/>
  <c r="O23" i="24"/>
  <c r="P23" i="24" s="1"/>
  <c r="O22" i="24"/>
  <c r="P22" i="24" s="1"/>
  <c r="O21" i="24"/>
  <c r="P21" i="24" s="1"/>
  <c r="O20" i="24"/>
  <c r="P20" i="24" s="1"/>
  <c r="O19" i="24"/>
  <c r="P19" i="24" s="1"/>
  <c r="O18" i="24"/>
  <c r="P18" i="24" s="1"/>
  <c r="O12" i="24"/>
  <c r="P12" i="24" s="1"/>
  <c r="H11" i="24"/>
  <c r="O11" i="24" s="1"/>
  <c r="P11" i="24" s="1"/>
  <c r="O10" i="24"/>
  <c r="P10" i="24" s="1"/>
  <c r="J9" i="24"/>
  <c r="I9" i="24"/>
  <c r="H9" i="24"/>
  <c r="G9" i="24"/>
  <c r="F9" i="24"/>
  <c r="E9" i="24"/>
  <c r="J8" i="24"/>
  <c r="I8" i="24"/>
  <c r="F8" i="24"/>
  <c r="E8" i="24"/>
  <c r="O7" i="24"/>
  <c r="P7" i="24" s="1"/>
  <c r="O6" i="24"/>
  <c r="P6" i="24" s="1"/>
  <c r="O5" i="24"/>
  <c r="P5" i="24" s="1"/>
  <c r="O4" i="24"/>
  <c r="P4" i="24" s="1"/>
  <c r="O5" i="23"/>
  <c r="P5" i="23" s="1"/>
  <c r="O6" i="23"/>
  <c r="P6" i="23" s="1"/>
  <c r="O7" i="23"/>
  <c r="P7" i="23" s="1"/>
  <c r="O10" i="23"/>
  <c r="P10" i="23" s="1"/>
  <c r="O12" i="23"/>
  <c r="P12" i="23" s="1"/>
  <c r="O18" i="23"/>
  <c r="P18" i="23" s="1"/>
  <c r="O19" i="23"/>
  <c r="P19" i="23" s="1"/>
  <c r="O20" i="23"/>
  <c r="P20" i="23" s="1"/>
  <c r="O21" i="23"/>
  <c r="P21" i="23" s="1"/>
  <c r="O22" i="23"/>
  <c r="P22" i="23" s="1"/>
  <c r="O23" i="23"/>
  <c r="P23" i="23" s="1"/>
  <c r="O24" i="23"/>
  <c r="P24" i="23" s="1"/>
  <c r="O25" i="23"/>
  <c r="P25" i="23" s="1"/>
  <c r="O26" i="23"/>
  <c r="P26" i="23" s="1"/>
  <c r="O27" i="23"/>
  <c r="P27" i="23" s="1"/>
  <c r="O29" i="23"/>
  <c r="P29" i="23" s="1"/>
  <c r="O31" i="23"/>
  <c r="P31" i="23" s="1"/>
  <c r="O32" i="23"/>
  <c r="P32" i="23" s="1"/>
  <c r="O33" i="23"/>
  <c r="P33" i="23" s="1"/>
  <c r="O34" i="23"/>
  <c r="P34" i="23" s="1"/>
  <c r="O35" i="23"/>
  <c r="P35" i="23" s="1"/>
  <c r="O36" i="23"/>
  <c r="P36" i="23" s="1"/>
  <c r="O40" i="23"/>
  <c r="P40" i="23" s="1"/>
  <c r="O41" i="23"/>
  <c r="P41" i="23" s="1"/>
  <c r="O42" i="23"/>
  <c r="P42" i="23" s="1"/>
  <c r="O43" i="23"/>
  <c r="P43" i="23" s="1"/>
  <c r="O48" i="23"/>
  <c r="P48" i="23" s="1"/>
  <c r="O49" i="23"/>
  <c r="P49" i="23" s="1"/>
  <c r="O50" i="23"/>
  <c r="P50" i="23" s="1"/>
  <c r="O61" i="23"/>
  <c r="P61" i="23" s="1"/>
  <c r="O62" i="23"/>
  <c r="P62" i="23" s="1"/>
  <c r="O63" i="23"/>
  <c r="P63" i="23" s="1"/>
  <c r="O65" i="23"/>
  <c r="P65" i="23" s="1"/>
  <c r="O66" i="23"/>
  <c r="P66" i="23" s="1"/>
  <c r="O67" i="23"/>
  <c r="P67" i="23" s="1"/>
  <c r="O68" i="23"/>
  <c r="P68" i="23" s="1"/>
  <c r="O75" i="23"/>
  <c r="P75" i="23" s="1"/>
  <c r="O83" i="23"/>
  <c r="P83" i="23" s="1"/>
  <c r="O84" i="23"/>
  <c r="P84" i="23" s="1"/>
  <c r="O85" i="23"/>
  <c r="P85" i="23" s="1"/>
  <c r="O86" i="23"/>
  <c r="P86" i="23" s="1"/>
  <c r="O87" i="23"/>
  <c r="P87" i="23" s="1"/>
  <c r="O88" i="23"/>
  <c r="P88" i="23" s="1"/>
  <c r="O89" i="23"/>
  <c r="P89" i="23" s="1"/>
  <c r="O90" i="23"/>
  <c r="P90" i="23" s="1"/>
  <c r="O4" i="23"/>
  <c r="P4" i="23" s="1"/>
  <c r="F76" i="23"/>
  <c r="G76" i="23"/>
  <c r="H76" i="23"/>
  <c r="I76" i="23"/>
  <c r="J76" i="23"/>
  <c r="E76" i="23"/>
  <c r="I82" i="23"/>
  <c r="O82" i="23" s="1"/>
  <c r="P82" i="23" s="1"/>
  <c r="I81" i="23"/>
  <c r="O81" i="23" s="1"/>
  <c r="P81" i="23" s="1"/>
  <c r="I70" i="23"/>
  <c r="I69" i="23"/>
  <c r="I60" i="23"/>
  <c r="I59" i="23"/>
  <c r="I58" i="23"/>
  <c r="I57" i="23"/>
  <c r="I56" i="23"/>
  <c r="O56" i="23" s="1"/>
  <c r="P56" i="23" s="1"/>
  <c r="I51" i="23"/>
  <c r="I46" i="23"/>
  <c r="O46" i="23" s="1"/>
  <c r="P46" i="23" s="1"/>
  <c r="I39" i="23"/>
  <c r="O39" i="23" s="1"/>
  <c r="P39" i="23" s="1"/>
  <c r="I9" i="23"/>
  <c r="I8" i="23"/>
  <c r="I47" i="23"/>
  <c r="J47" i="23"/>
  <c r="J38" i="23"/>
  <c r="J9" i="23"/>
  <c r="J8" i="23"/>
  <c r="J80" i="23"/>
  <c r="J79" i="23"/>
  <c r="J70" i="23"/>
  <c r="J69" i="23"/>
  <c r="J64" i="23"/>
  <c r="J60" i="23"/>
  <c r="J59" i="23"/>
  <c r="J58" i="23"/>
  <c r="J57" i="23"/>
  <c r="J55" i="23"/>
  <c r="J51" i="23"/>
  <c r="O51" i="23" s="1"/>
  <c r="P51" i="23" s="1"/>
  <c r="J45" i="23"/>
  <c r="G47" i="23"/>
  <c r="H47" i="23"/>
  <c r="H37" i="23"/>
  <c r="G38" i="23"/>
  <c r="H9" i="23"/>
  <c r="G9" i="23"/>
  <c r="G80" i="23"/>
  <c r="G79" i="23"/>
  <c r="H78" i="23"/>
  <c r="H77" i="23"/>
  <c r="H72" i="23"/>
  <c r="G72" i="23"/>
  <c r="O72" i="23" s="1"/>
  <c r="P72" i="23" s="1"/>
  <c r="H71" i="23"/>
  <c r="G71" i="23"/>
  <c r="O71" i="23" s="1"/>
  <c r="P71" i="23" s="1"/>
  <c r="H64" i="23"/>
  <c r="G64" i="23"/>
  <c r="H60" i="23"/>
  <c r="G60" i="23"/>
  <c r="H59" i="23"/>
  <c r="G59" i="23"/>
  <c r="H58" i="23"/>
  <c r="G58" i="23"/>
  <c r="H57" i="23"/>
  <c r="G57" i="23"/>
  <c r="G55" i="23"/>
  <c r="H54" i="23"/>
  <c r="H52" i="23"/>
  <c r="G52" i="23"/>
  <c r="O52" i="23" s="1"/>
  <c r="P52" i="23" s="1"/>
  <c r="G45" i="23"/>
  <c r="H44" i="23"/>
  <c r="H11" i="23"/>
  <c r="O11" i="23" s="1"/>
  <c r="P11" i="23" s="1"/>
  <c r="F47" i="23"/>
  <c r="F37" i="23"/>
  <c r="F9" i="23"/>
  <c r="F8" i="23"/>
  <c r="E47" i="23"/>
  <c r="E38" i="23"/>
  <c r="E9" i="23"/>
  <c r="E8" i="23"/>
  <c r="E80" i="23"/>
  <c r="E79" i="23"/>
  <c r="F78" i="23"/>
  <c r="O78" i="23" s="1"/>
  <c r="P78" i="23" s="1"/>
  <c r="F77" i="23"/>
  <c r="F74" i="23"/>
  <c r="E74" i="23"/>
  <c r="O74" i="23" s="1"/>
  <c r="P74" i="23" s="1"/>
  <c r="F73" i="23"/>
  <c r="E73" i="23"/>
  <c r="O73" i="23" s="1"/>
  <c r="P73" i="23" s="1"/>
  <c r="F64" i="23"/>
  <c r="E64" i="23"/>
  <c r="F60" i="23"/>
  <c r="E60" i="23"/>
  <c r="F59" i="23"/>
  <c r="E59" i="23"/>
  <c r="F58" i="23"/>
  <c r="E58" i="23"/>
  <c r="F57" i="23"/>
  <c r="E57" i="23"/>
  <c r="E55" i="23"/>
  <c r="F54" i="23"/>
  <c r="F53" i="23"/>
  <c r="E53" i="23"/>
  <c r="O53" i="23" s="1"/>
  <c r="P53" i="23" s="1"/>
  <c r="E45" i="23"/>
  <c r="F44" i="23"/>
  <c r="O44" i="23" s="1"/>
  <c r="P44" i="23" s="1"/>
  <c r="O54" i="24" l="1"/>
  <c r="P54" i="24" s="1"/>
  <c r="P30" i="25"/>
  <c r="O8" i="24"/>
  <c r="P8" i="24" s="1"/>
  <c r="P30" i="26"/>
  <c r="P92" i="26" s="1"/>
  <c r="O47" i="24"/>
  <c r="P47" i="24" s="1"/>
  <c r="O72" i="24"/>
  <c r="P72" i="24" s="1"/>
  <c r="O70" i="23"/>
  <c r="P70" i="23" s="1"/>
  <c r="O55" i="23"/>
  <c r="P55" i="23" s="1"/>
  <c r="O9" i="23"/>
  <c r="P9" i="23" s="1"/>
  <c r="O38" i="23"/>
  <c r="P38" i="23" s="1"/>
  <c r="O47" i="23"/>
  <c r="P47" i="23" s="1"/>
  <c r="O54" i="23"/>
  <c r="P54" i="23" s="1"/>
  <c r="O37" i="23"/>
  <c r="P37" i="23" s="1"/>
  <c r="O77" i="23"/>
  <c r="P77" i="23" s="1"/>
  <c r="H16" i="7"/>
  <c r="I17" i="7"/>
  <c r="I30" i="7"/>
  <c r="O44" i="24"/>
  <c r="P44" i="24" s="1"/>
  <c r="O57" i="23"/>
  <c r="P57" i="23" s="1"/>
  <c r="O77" i="24"/>
  <c r="P77" i="24" s="1"/>
  <c r="I14" i="7"/>
  <c r="H14" i="7"/>
  <c r="O59" i="23"/>
  <c r="P59" i="23" s="1"/>
  <c r="H17" i="7"/>
  <c r="O58" i="23"/>
  <c r="P58" i="23" s="1"/>
  <c r="O69" i="23"/>
  <c r="P69" i="23" s="1"/>
  <c r="O80" i="23"/>
  <c r="P80" i="23" s="1"/>
  <c r="I16" i="7"/>
  <c r="O8" i="23"/>
  <c r="P8" i="23" s="1"/>
  <c r="O74" i="24"/>
  <c r="P74" i="24" s="1"/>
  <c r="O80" i="24"/>
  <c r="P80" i="24" s="1"/>
  <c r="O79" i="23"/>
  <c r="P79" i="23" s="1"/>
  <c r="O37" i="24"/>
  <c r="P37" i="24" s="1"/>
  <c r="O64" i="23"/>
  <c r="P64" i="23" s="1"/>
  <c r="O45" i="23"/>
  <c r="P45" i="23" s="1"/>
  <c r="P25" i="25"/>
  <c r="H30" i="7"/>
  <c r="H15" i="7"/>
  <c r="I15" i="7"/>
  <c r="O60" i="23"/>
  <c r="P60" i="23" s="1"/>
  <c r="O76" i="23"/>
  <c r="P76" i="23" s="1"/>
  <c r="O51" i="24"/>
  <c r="P51" i="24" s="1"/>
  <c r="H13" i="7"/>
  <c r="I13" i="7"/>
  <c r="P28" i="25"/>
  <c r="P24" i="25"/>
  <c r="H28" i="7"/>
  <c r="I28" i="7"/>
  <c r="O60" i="24"/>
  <c r="P60" i="24" s="1"/>
  <c r="O64" i="24"/>
  <c r="P64" i="24" s="1"/>
  <c r="O9" i="24"/>
  <c r="P9" i="24" s="1"/>
  <c r="O38" i="24"/>
  <c r="P38" i="24" s="1"/>
  <c r="O59" i="24"/>
  <c r="P59" i="24" s="1"/>
  <c r="O73" i="24"/>
  <c r="P73" i="24" s="1"/>
  <c r="O79" i="24"/>
  <c r="P79" i="24" s="1"/>
  <c r="O57" i="24"/>
  <c r="P57" i="24" s="1"/>
  <c r="O76" i="24"/>
  <c r="P76" i="24" s="1"/>
  <c r="O69" i="24"/>
  <c r="P69" i="24" s="1"/>
  <c r="O45" i="24"/>
  <c r="P45" i="24" s="1"/>
  <c r="O58" i="24"/>
  <c r="P58" i="24" s="1"/>
  <c r="O52" i="24"/>
  <c r="P52" i="24" s="1"/>
  <c r="P90" i="22"/>
  <c r="P89" i="22"/>
  <c r="P88" i="22"/>
  <c r="P87" i="22"/>
  <c r="P86" i="22"/>
  <c r="P85" i="22"/>
  <c r="P84" i="22"/>
  <c r="P83" i="22"/>
  <c r="P82" i="22"/>
  <c r="P81" i="22"/>
  <c r="G80" i="22"/>
  <c r="E80" i="22"/>
  <c r="G79" i="22"/>
  <c r="E79" i="22"/>
  <c r="J78" i="22"/>
  <c r="H78" i="22"/>
  <c r="J77" i="22"/>
  <c r="H77" i="22"/>
  <c r="P76" i="22"/>
  <c r="P75" i="22"/>
  <c r="J74" i="22"/>
  <c r="H74" i="22"/>
  <c r="G74" i="22"/>
  <c r="E74" i="22"/>
  <c r="J73" i="22"/>
  <c r="H73" i="22"/>
  <c r="G73" i="22"/>
  <c r="E73" i="22"/>
  <c r="P72" i="22"/>
  <c r="P71" i="22"/>
  <c r="P70" i="22"/>
  <c r="P69" i="22"/>
  <c r="P68" i="22"/>
  <c r="P67" i="22"/>
  <c r="P66" i="22"/>
  <c r="P65" i="22"/>
  <c r="J64" i="22"/>
  <c r="I64" i="22"/>
  <c r="H64" i="22"/>
  <c r="G64" i="22"/>
  <c r="F64" i="22"/>
  <c r="E64" i="22"/>
  <c r="I63" i="22"/>
  <c r="H63" i="22"/>
  <c r="F63" i="22"/>
  <c r="E63" i="22"/>
  <c r="J62" i="22"/>
  <c r="G62" i="22"/>
  <c r="P61" i="22"/>
  <c r="J60" i="22"/>
  <c r="I60" i="22"/>
  <c r="H60" i="22"/>
  <c r="G60" i="22"/>
  <c r="F60" i="22"/>
  <c r="E60" i="22"/>
  <c r="J59" i="22"/>
  <c r="I59" i="22"/>
  <c r="H59" i="22"/>
  <c r="G59" i="22"/>
  <c r="F59" i="22"/>
  <c r="E59" i="22"/>
  <c r="J58" i="22"/>
  <c r="I58" i="22"/>
  <c r="H58" i="22"/>
  <c r="G58" i="22"/>
  <c r="F58" i="22"/>
  <c r="E58" i="22"/>
  <c r="J57" i="22"/>
  <c r="I57" i="22"/>
  <c r="H57" i="22"/>
  <c r="G57" i="22"/>
  <c r="F57" i="22"/>
  <c r="E57" i="22"/>
  <c r="P56" i="22"/>
  <c r="G55" i="22"/>
  <c r="F55" i="22"/>
  <c r="E55" i="22"/>
  <c r="J54" i="22"/>
  <c r="I54" i="22"/>
  <c r="H54" i="22"/>
  <c r="J53" i="22"/>
  <c r="I53" i="22"/>
  <c r="H53" i="22"/>
  <c r="G53" i="22"/>
  <c r="F53" i="22"/>
  <c r="E53" i="22"/>
  <c r="P52" i="22"/>
  <c r="P51" i="22"/>
  <c r="P50" i="22"/>
  <c r="I49" i="22"/>
  <c r="H49" i="22"/>
  <c r="F49" i="22"/>
  <c r="E49" i="22"/>
  <c r="J48" i="22"/>
  <c r="G48" i="22"/>
  <c r="P47" i="22"/>
  <c r="P46" i="22"/>
  <c r="G45" i="22"/>
  <c r="F45" i="22"/>
  <c r="E45" i="22"/>
  <c r="J44" i="22"/>
  <c r="I44" i="22"/>
  <c r="H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29" i="22"/>
  <c r="P27" i="22"/>
  <c r="P26" i="22"/>
  <c r="P25" i="22"/>
  <c r="P24" i="22"/>
  <c r="P23" i="22"/>
  <c r="P22" i="22"/>
  <c r="P21" i="22"/>
  <c r="F20" i="22"/>
  <c r="E20" i="22"/>
  <c r="P19" i="22"/>
  <c r="G18" i="22"/>
  <c r="P12" i="22"/>
  <c r="I11" i="22"/>
  <c r="H11" i="22"/>
  <c r="J10" i="22"/>
  <c r="O10" i="22" s="1"/>
  <c r="P10" i="22" s="1"/>
  <c r="P9" i="22"/>
  <c r="P8" i="22"/>
  <c r="I7" i="22"/>
  <c r="H7" i="22"/>
  <c r="F7" i="22"/>
  <c r="E7" i="22"/>
  <c r="O7" i="22" s="1"/>
  <c r="I6" i="22"/>
  <c r="H6" i="22"/>
  <c r="F6" i="22"/>
  <c r="E6" i="22"/>
  <c r="J5" i="22"/>
  <c r="G5" i="22"/>
  <c r="J4" i="22"/>
  <c r="G4" i="22"/>
  <c r="P90" i="21"/>
  <c r="P89" i="21"/>
  <c r="P88" i="21"/>
  <c r="P87" i="21"/>
  <c r="P86" i="21"/>
  <c r="P85" i="21"/>
  <c r="P84" i="21"/>
  <c r="P83" i="21"/>
  <c r="P82" i="21"/>
  <c r="P81" i="21"/>
  <c r="G80" i="21"/>
  <c r="E80" i="21"/>
  <c r="G79" i="21"/>
  <c r="E79" i="21"/>
  <c r="J78" i="21"/>
  <c r="H78" i="21"/>
  <c r="J77" i="21"/>
  <c r="H77" i="21"/>
  <c r="P76" i="21"/>
  <c r="P75" i="21"/>
  <c r="P74" i="21"/>
  <c r="P73" i="21"/>
  <c r="J72" i="21"/>
  <c r="H72" i="21"/>
  <c r="G72" i="21"/>
  <c r="E72" i="21"/>
  <c r="J71" i="21"/>
  <c r="H71" i="21"/>
  <c r="G71" i="21"/>
  <c r="E71" i="21"/>
  <c r="P70" i="21"/>
  <c r="P69" i="21"/>
  <c r="P68" i="21"/>
  <c r="P67" i="21"/>
  <c r="P66" i="21"/>
  <c r="P65" i="21"/>
  <c r="J64" i="21"/>
  <c r="I64" i="21"/>
  <c r="H64" i="21"/>
  <c r="G64" i="21"/>
  <c r="F64" i="21"/>
  <c r="E64" i="21"/>
  <c r="I63" i="21"/>
  <c r="H63" i="21"/>
  <c r="F63" i="21"/>
  <c r="E63" i="21"/>
  <c r="J62" i="21"/>
  <c r="G62" i="21"/>
  <c r="P61" i="21"/>
  <c r="J60" i="21"/>
  <c r="I60" i="21"/>
  <c r="H60" i="21"/>
  <c r="G60" i="21"/>
  <c r="F60" i="21"/>
  <c r="E60" i="21"/>
  <c r="J59" i="21"/>
  <c r="I59" i="21"/>
  <c r="H59" i="21"/>
  <c r="G59" i="21"/>
  <c r="F59" i="21"/>
  <c r="E59" i="21"/>
  <c r="J58" i="21"/>
  <c r="I58" i="21"/>
  <c r="H58" i="21"/>
  <c r="G58" i="21"/>
  <c r="F58" i="21"/>
  <c r="E58" i="21"/>
  <c r="J57" i="21"/>
  <c r="I57" i="21"/>
  <c r="H57" i="21"/>
  <c r="G57" i="21"/>
  <c r="F57" i="21"/>
  <c r="E57" i="21"/>
  <c r="P56" i="21"/>
  <c r="G55" i="21"/>
  <c r="F55" i="21"/>
  <c r="E55" i="21"/>
  <c r="J54" i="21"/>
  <c r="I54" i="21"/>
  <c r="H54" i="21"/>
  <c r="P53" i="21"/>
  <c r="J52" i="21"/>
  <c r="I52" i="21"/>
  <c r="H52" i="21"/>
  <c r="G52" i="21"/>
  <c r="F52" i="21"/>
  <c r="E52" i="21"/>
  <c r="P51" i="21"/>
  <c r="P50" i="21"/>
  <c r="I49" i="21"/>
  <c r="H49" i="21"/>
  <c r="F49" i="21"/>
  <c r="E49" i="21"/>
  <c r="J48" i="21"/>
  <c r="G48" i="21"/>
  <c r="P47" i="21"/>
  <c r="P46" i="21"/>
  <c r="G45" i="21"/>
  <c r="F45" i="21"/>
  <c r="E45" i="21"/>
  <c r="J44" i="21"/>
  <c r="I44" i="21"/>
  <c r="H44" i="21"/>
  <c r="P43" i="21"/>
  <c r="P42" i="21"/>
  <c r="P41" i="21"/>
  <c r="P40" i="21"/>
  <c r="P39" i="21"/>
  <c r="P38" i="21"/>
  <c r="P37" i="21"/>
  <c r="P36" i="21"/>
  <c r="P35" i="21"/>
  <c r="P34" i="21"/>
  <c r="P33" i="21"/>
  <c r="P32" i="21"/>
  <c r="P31" i="21"/>
  <c r="P29" i="21"/>
  <c r="P27" i="21"/>
  <c r="P26" i="21"/>
  <c r="P25" i="21"/>
  <c r="P24" i="21"/>
  <c r="P23" i="21"/>
  <c r="P22" i="21"/>
  <c r="P21" i="21"/>
  <c r="F20" i="21"/>
  <c r="E20" i="21"/>
  <c r="P19" i="21"/>
  <c r="G18" i="21"/>
  <c r="P12" i="21"/>
  <c r="I11" i="21"/>
  <c r="H11" i="21"/>
  <c r="J10" i="21"/>
  <c r="O10" i="21" s="1"/>
  <c r="P10" i="21" s="1"/>
  <c r="P9" i="21"/>
  <c r="P8" i="21"/>
  <c r="I7" i="21"/>
  <c r="H7" i="21"/>
  <c r="F7" i="21"/>
  <c r="E7" i="21"/>
  <c r="P6" i="21"/>
  <c r="J5" i="21"/>
  <c r="G5" i="21"/>
  <c r="O4" i="21"/>
  <c r="P4" i="21" s="1"/>
  <c r="P90" i="20"/>
  <c r="P89" i="20"/>
  <c r="P88" i="20"/>
  <c r="P87" i="20"/>
  <c r="P86" i="20"/>
  <c r="P85" i="20"/>
  <c r="P84" i="20"/>
  <c r="P83" i="20"/>
  <c r="P82" i="20"/>
  <c r="P81" i="20"/>
  <c r="G80" i="20"/>
  <c r="E80" i="20"/>
  <c r="G79" i="20"/>
  <c r="E79" i="20"/>
  <c r="J78" i="20"/>
  <c r="H78" i="20"/>
  <c r="J77" i="20"/>
  <c r="H77" i="20"/>
  <c r="P76" i="20"/>
  <c r="P75" i="20"/>
  <c r="P74" i="20"/>
  <c r="P73" i="20"/>
  <c r="P72" i="20"/>
  <c r="P71" i="20"/>
  <c r="J70" i="20"/>
  <c r="H70" i="20"/>
  <c r="G70" i="20"/>
  <c r="E70" i="20"/>
  <c r="J69" i="20"/>
  <c r="H69" i="20"/>
  <c r="G69" i="20"/>
  <c r="E69" i="20"/>
  <c r="P68" i="20"/>
  <c r="P67" i="20"/>
  <c r="P66" i="20"/>
  <c r="P65" i="20"/>
  <c r="J64" i="20"/>
  <c r="I64" i="20"/>
  <c r="H64" i="20"/>
  <c r="G64" i="20"/>
  <c r="F64" i="20"/>
  <c r="E64" i="20"/>
  <c r="I63" i="20"/>
  <c r="H63" i="20"/>
  <c r="F63" i="20"/>
  <c r="E63" i="20"/>
  <c r="J62" i="20"/>
  <c r="G62" i="20"/>
  <c r="P61" i="20"/>
  <c r="J60" i="20"/>
  <c r="I60" i="20"/>
  <c r="H60" i="20"/>
  <c r="G60" i="20"/>
  <c r="F60" i="20"/>
  <c r="E60" i="20"/>
  <c r="J59" i="20"/>
  <c r="I59" i="20"/>
  <c r="H59" i="20"/>
  <c r="G59" i="20"/>
  <c r="F59" i="20"/>
  <c r="E59" i="20"/>
  <c r="J58" i="20"/>
  <c r="I58" i="20"/>
  <c r="H58" i="20"/>
  <c r="G58" i="20"/>
  <c r="F58" i="20"/>
  <c r="E58" i="20"/>
  <c r="J57" i="20"/>
  <c r="I57" i="20"/>
  <c r="H57" i="20"/>
  <c r="G57" i="20"/>
  <c r="F57" i="20"/>
  <c r="E57" i="20"/>
  <c r="P56" i="20"/>
  <c r="G55" i="20"/>
  <c r="F55" i="20"/>
  <c r="E55" i="20"/>
  <c r="J54" i="20"/>
  <c r="I54" i="20"/>
  <c r="H54" i="20"/>
  <c r="P53" i="20"/>
  <c r="P52" i="20"/>
  <c r="J51" i="20"/>
  <c r="I51" i="20"/>
  <c r="H51" i="20"/>
  <c r="G51" i="20"/>
  <c r="F51" i="20"/>
  <c r="E51" i="20"/>
  <c r="P50" i="20"/>
  <c r="I49" i="20"/>
  <c r="H49" i="20"/>
  <c r="F49" i="20"/>
  <c r="E49" i="20"/>
  <c r="J48" i="20"/>
  <c r="G48" i="20"/>
  <c r="P47" i="20"/>
  <c r="P46" i="20"/>
  <c r="G45" i="20"/>
  <c r="F45" i="20"/>
  <c r="E45" i="20"/>
  <c r="J44" i="20"/>
  <c r="I44" i="20"/>
  <c r="H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29" i="20"/>
  <c r="P27" i="20"/>
  <c r="P26" i="20"/>
  <c r="P25" i="20"/>
  <c r="P24" i="20"/>
  <c r="P23" i="20"/>
  <c r="P22" i="20"/>
  <c r="P21" i="20"/>
  <c r="F20" i="20"/>
  <c r="E20" i="20"/>
  <c r="P19" i="20"/>
  <c r="G18" i="20"/>
  <c r="P12" i="20"/>
  <c r="I11" i="20"/>
  <c r="H11" i="20"/>
  <c r="J10" i="20"/>
  <c r="O10" i="20" s="1"/>
  <c r="P10" i="20" s="1"/>
  <c r="P9" i="20"/>
  <c r="P8" i="20"/>
  <c r="I7" i="20"/>
  <c r="H7" i="20"/>
  <c r="F7" i="20"/>
  <c r="E7" i="20"/>
  <c r="I6" i="20"/>
  <c r="H6" i="20"/>
  <c r="F6" i="20"/>
  <c r="E6" i="20"/>
  <c r="J5" i="20"/>
  <c r="G5" i="20"/>
  <c r="J4" i="20"/>
  <c r="G4" i="20"/>
  <c r="P90" i="19"/>
  <c r="P89" i="19"/>
  <c r="P88" i="19"/>
  <c r="P87" i="19"/>
  <c r="P86" i="19"/>
  <c r="P85" i="19"/>
  <c r="P84" i="19"/>
  <c r="P83" i="19"/>
  <c r="P82" i="19"/>
  <c r="P81" i="19"/>
  <c r="G80" i="19"/>
  <c r="E80" i="19"/>
  <c r="G79" i="19"/>
  <c r="E79" i="19"/>
  <c r="J78" i="19"/>
  <c r="H78" i="19"/>
  <c r="J77" i="19"/>
  <c r="H77" i="19"/>
  <c r="P76" i="19"/>
  <c r="P75" i="19"/>
  <c r="J74" i="19"/>
  <c r="H74" i="19"/>
  <c r="G74" i="19"/>
  <c r="E74" i="19"/>
  <c r="J73" i="19"/>
  <c r="H73" i="19"/>
  <c r="G73" i="19"/>
  <c r="E73" i="19"/>
  <c r="P72" i="19"/>
  <c r="P71" i="19"/>
  <c r="P70" i="19"/>
  <c r="P69" i="19"/>
  <c r="P68" i="19"/>
  <c r="P67" i="19"/>
  <c r="P66" i="19"/>
  <c r="P65" i="19"/>
  <c r="J64" i="19"/>
  <c r="I64" i="19"/>
  <c r="H64" i="19"/>
  <c r="G64" i="19"/>
  <c r="F64" i="19"/>
  <c r="E64" i="19"/>
  <c r="I63" i="19"/>
  <c r="H63" i="19"/>
  <c r="F63" i="19"/>
  <c r="E63" i="19"/>
  <c r="J62" i="19"/>
  <c r="G62" i="19"/>
  <c r="P61" i="19"/>
  <c r="J60" i="19"/>
  <c r="I60" i="19"/>
  <c r="H60" i="19"/>
  <c r="G60" i="19"/>
  <c r="F60" i="19"/>
  <c r="E60" i="19"/>
  <c r="J59" i="19"/>
  <c r="I59" i="19"/>
  <c r="H59" i="19"/>
  <c r="G59" i="19"/>
  <c r="F59" i="19"/>
  <c r="E59" i="19"/>
  <c r="J58" i="19"/>
  <c r="I58" i="19"/>
  <c r="H58" i="19"/>
  <c r="G58" i="19"/>
  <c r="F58" i="19"/>
  <c r="E58" i="19"/>
  <c r="J57" i="19"/>
  <c r="I57" i="19"/>
  <c r="H57" i="19"/>
  <c r="G57" i="19"/>
  <c r="F57" i="19"/>
  <c r="E57" i="19"/>
  <c r="P56" i="19"/>
  <c r="G55" i="19"/>
  <c r="F55" i="19"/>
  <c r="E55" i="19"/>
  <c r="J54" i="19"/>
  <c r="I54" i="19"/>
  <c r="H54" i="19"/>
  <c r="J53" i="19"/>
  <c r="I53" i="19"/>
  <c r="H53" i="19"/>
  <c r="G53" i="19"/>
  <c r="F53" i="19"/>
  <c r="E53" i="19"/>
  <c r="P52" i="19"/>
  <c r="P51" i="19"/>
  <c r="P50" i="19"/>
  <c r="I49" i="19"/>
  <c r="H49" i="19"/>
  <c r="F49" i="19"/>
  <c r="E49" i="19"/>
  <c r="J48" i="19"/>
  <c r="G48" i="19"/>
  <c r="P47" i="19"/>
  <c r="P46" i="19"/>
  <c r="G45" i="19"/>
  <c r="F45" i="19"/>
  <c r="E45" i="19"/>
  <c r="J44" i="19"/>
  <c r="I44" i="19"/>
  <c r="H44" i="19"/>
  <c r="P43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29" i="19"/>
  <c r="P27" i="19"/>
  <c r="P26" i="19"/>
  <c r="P25" i="19"/>
  <c r="P24" i="19"/>
  <c r="P23" i="19"/>
  <c r="P22" i="19"/>
  <c r="P21" i="19"/>
  <c r="F20" i="19"/>
  <c r="E20" i="19"/>
  <c r="P19" i="19"/>
  <c r="G18" i="19"/>
  <c r="P12" i="19"/>
  <c r="I11" i="19"/>
  <c r="H11" i="19"/>
  <c r="P10" i="19"/>
  <c r="J10" i="19"/>
  <c r="O10" i="19" s="1"/>
  <c r="P9" i="19"/>
  <c r="P8" i="19"/>
  <c r="I7" i="19"/>
  <c r="H7" i="19"/>
  <c r="F7" i="19"/>
  <c r="E7" i="19"/>
  <c r="I6" i="19"/>
  <c r="H6" i="19"/>
  <c r="F6" i="19"/>
  <c r="E6" i="19"/>
  <c r="J5" i="19"/>
  <c r="G5" i="19"/>
  <c r="J4" i="19"/>
  <c r="G4" i="19"/>
  <c r="P90" i="18"/>
  <c r="P89" i="18"/>
  <c r="P88" i="18"/>
  <c r="P87" i="18"/>
  <c r="P86" i="18"/>
  <c r="P85" i="18"/>
  <c r="P84" i="18"/>
  <c r="P83" i="18"/>
  <c r="P82" i="18"/>
  <c r="P81" i="18"/>
  <c r="G80" i="18"/>
  <c r="E80" i="18"/>
  <c r="G79" i="18"/>
  <c r="E79" i="18"/>
  <c r="J78" i="18"/>
  <c r="H78" i="18"/>
  <c r="J77" i="18"/>
  <c r="H77" i="18"/>
  <c r="P76" i="18"/>
  <c r="P75" i="18"/>
  <c r="P74" i="18"/>
  <c r="P73" i="18"/>
  <c r="J72" i="18"/>
  <c r="H72" i="18"/>
  <c r="G72" i="18"/>
  <c r="E72" i="18"/>
  <c r="J71" i="18"/>
  <c r="H71" i="18"/>
  <c r="G71" i="18"/>
  <c r="E71" i="18"/>
  <c r="P70" i="18"/>
  <c r="P69" i="18"/>
  <c r="P68" i="18"/>
  <c r="P67" i="18"/>
  <c r="P66" i="18"/>
  <c r="P65" i="18"/>
  <c r="J64" i="18"/>
  <c r="I64" i="18"/>
  <c r="H64" i="18"/>
  <c r="G64" i="18"/>
  <c r="F64" i="18"/>
  <c r="E64" i="18"/>
  <c r="I63" i="18"/>
  <c r="H63" i="18"/>
  <c r="F63" i="18"/>
  <c r="E63" i="18"/>
  <c r="J62" i="18"/>
  <c r="G62" i="18"/>
  <c r="P61" i="18"/>
  <c r="J60" i="18"/>
  <c r="I60" i="18"/>
  <c r="H60" i="18"/>
  <c r="G60" i="18"/>
  <c r="F60" i="18"/>
  <c r="E60" i="18"/>
  <c r="J59" i="18"/>
  <c r="I59" i="18"/>
  <c r="H59" i="18"/>
  <c r="G59" i="18"/>
  <c r="F59" i="18"/>
  <c r="E59" i="18"/>
  <c r="J58" i="18"/>
  <c r="I58" i="18"/>
  <c r="H58" i="18"/>
  <c r="G58" i="18"/>
  <c r="F58" i="18"/>
  <c r="E58" i="18"/>
  <c r="J57" i="18"/>
  <c r="I57" i="18"/>
  <c r="H57" i="18"/>
  <c r="G57" i="18"/>
  <c r="F57" i="18"/>
  <c r="E57" i="18"/>
  <c r="P56" i="18"/>
  <c r="G55" i="18"/>
  <c r="F55" i="18"/>
  <c r="E55" i="18"/>
  <c r="O55" i="18" s="1"/>
  <c r="J54" i="18"/>
  <c r="I54" i="18"/>
  <c r="H54" i="18"/>
  <c r="P53" i="18"/>
  <c r="J52" i="18"/>
  <c r="I52" i="18"/>
  <c r="H52" i="18"/>
  <c r="G52" i="18"/>
  <c r="F52" i="18"/>
  <c r="E52" i="18"/>
  <c r="P51" i="18"/>
  <c r="P50" i="18"/>
  <c r="I49" i="18"/>
  <c r="H49" i="18"/>
  <c r="F49" i="18"/>
  <c r="E49" i="18"/>
  <c r="O49" i="18" s="1"/>
  <c r="J48" i="18"/>
  <c r="G48" i="18"/>
  <c r="P47" i="18"/>
  <c r="P46" i="18"/>
  <c r="G45" i="18"/>
  <c r="F45" i="18"/>
  <c r="E45" i="18"/>
  <c r="J44" i="18"/>
  <c r="I44" i="18"/>
  <c r="H44" i="18"/>
  <c r="P43" i="18"/>
  <c r="P42" i="18"/>
  <c r="P41" i="18"/>
  <c r="P40" i="18"/>
  <c r="P39" i="18"/>
  <c r="P38" i="18"/>
  <c r="P37" i="18"/>
  <c r="P36" i="18"/>
  <c r="P35" i="18"/>
  <c r="P34" i="18"/>
  <c r="P33" i="18"/>
  <c r="P32" i="18"/>
  <c r="P31" i="18"/>
  <c r="P29" i="18"/>
  <c r="P27" i="18"/>
  <c r="P26" i="18"/>
  <c r="P25" i="18"/>
  <c r="P24" i="18"/>
  <c r="P23" i="18"/>
  <c r="P22" i="18"/>
  <c r="P21" i="18"/>
  <c r="F20" i="18"/>
  <c r="E20" i="18"/>
  <c r="P19" i="18"/>
  <c r="G18" i="18"/>
  <c r="P12" i="18"/>
  <c r="I11" i="18"/>
  <c r="H11" i="18"/>
  <c r="J10" i="18"/>
  <c r="O10" i="18" s="1"/>
  <c r="P10" i="18" s="1"/>
  <c r="P9" i="18"/>
  <c r="P8" i="18"/>
  <c r="I7" i="18"/>
  <c r="H7" i="18"/>
  <c r="F7" i="18"/>
  <c r="E7" i="18"/>
  <c r="P6" i="18"/>
  <c r="J5" i="18"/>
  <c r="G5" i="18"/>
  <c r="P4" i="18"/>
  <c r="P90" i="17"/>
  <c r="P89" i="17"/>
  <c r="P88" i="17"/>
  <c r="P87" i="17"/>
  <c r="P86" i="17"/>
  <c r="P85" i="17"/>
  <c r="P84" i="17"/>
  <c r="P83" i="17"/>
  <c r="P82" i="17"/>
  <c r="P81" i="17"/>
  <c r="G80" i="17"/>
  <c r="E80" i="17"/>
  <c r="G79" i="17"/>
  <c r="E79" i="17"/>
  <c r="J78" i="17"/>
  <c r="H78" i="17"/>
  <c r="J77" i="17"/>
  <c r="H77" i="17"/>
  <c r="P76" i="17"/>
  <c r="P75" i="17"/>
  <c r="P74" i="17"/>
  <c r="P73" i="17"/>
  <c r="P72" i="17"/>
  <c r="P71" i="17"/>
  <c r="J70" i="17"/>
  <c r="H70" i="17"/>
  <c r="G70" i="17"/>
  <c r="E70" i="17"/>
  <c r="J69" i="17"/>
  <c r="H69" i="17"/>
  <c r="G69" i="17"/>
  <c r="E69" i="17"/>
  <c r="P68" i="17"/>
  <c r="P67" i="17"/>
  <c r="P66" i="17"/>
  <c r="P65" i="17"/>
  <c r="J64" i="17"/>
  <c r="I64" i="17"/>
  <c r="H64" i="17"/>
  <c r="G64" i="17"/>
  <c r="F64" i="17"/>
  <c r="E64" i="17"/>
  <c r="I63" i="17"/>
  <c r="H63" i="17"/>
  <c r="F63" i="17"/>
  <c r="E63" i="17"/>
  <c r="J62" i="17"/>
  <c r="G62" i="17"/>
  <c r="P61" i="17"/>
  <c r="J60" i="17"/>
  <c r="I60" i="17"/>
  <c r="H60" i="17"/>
  <c r="G60" i="17"/>
  <c r="F60" i="17"/>
  <c r="E60" i="17"/>
  <c r="J59" i="17"/>
  <c r="I59" i="17"/>
  <c r="H59" i="17"/>
  <c r="G59" i="17"/>
  <c r="F59" i="17"/>
  <c r="E59" i="17"/>
  <c r="J58" i="17"/>
  <c r="I58" i="17"/>
  <c r="H58" i="17"/>
  <c r="G58" i="17"/>
  <c r="F58" i="17"/>
  <c r="E58" i="17"/>
  <c r="J57" i="17"/>
  <c r="I57" i="17"/>
  <c r="H57" i="17"/>
  <c r="G57" i="17"/>
  <c r="F57" i="17"/>
  <c r="E57" i="17"/>
  <c r="P56" i="17"/>
  <c r="G55" i="17"/>
  <c r="F55" i="17"/>
  <c r="E55" i="17"/>
  <c r="J54" i="17"/>
  <c r="I54" i="17"/>
  <c r="H54" i="17"/>
  <c r="P53" i="17"/>
  <c r="P52" i="17"/>
  <c r="J51" i="17"/>
  <c r="I51" i="17"/>
  <c r="H51" i="17"/>
  <c r="G51" i="17"/>
  <c r="F51" i="17"/>
  <c r="E51" i="17"/>
  <c r="P50" i="17"/>
  <c r="I49" i="17"/>
  <c r="H49" i="17"/>
  <c r="F49" i="17"/>
  <c r="E49" i="17"/>
  <c r="J48" i="17"/>
  <c r="G48" i="17"/>
  <c r="P47" i="17"/>
  <c r="P46" i="17"/>
  <c r="G45" i="17"/>
  <c r="F45" i="17"/>
  <c r="E45" i="17"/>
  <c r="J44" i="17"/>
  <c r="I44" i="17"/>
  <c r="H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29" i="17"/>
  <c r="P27" i="17"/>
  <c r="P26" i="17"/>
  <c r="P25" i="17"/>
  <c r="P24" i="17"/>
  <c r="P23" i="17"/>
  <c r="P22" i="17"/>
  <c r="P21" i="17"/>
  <c r="F20" i="17"/>
  <c r="E20" i="17"/>
  <c r="P19" i="17"/>
  <c r="G18" i="17"/>
  <c r="P12" i="17"/>
  <c r="I11" i="17"/>
  <c r="H11" i="17"/>
  <c r="J10" i="17"/>
  <c r="O10" i="17" s="1"/>
  <c r="P10" i="17" s="1"/>
  <c r="P9" i="17"/>
  <c r="P8" i="17"/>
  <c r="I7" i="17"/>
  <c r="H7" i="17"/>
  <c r="F7" i="17"/>
  <c r="E7" i="17"/>
  <c r="I6" i="17"/>
  <c r="H6" i="17"/>
  <c r="F6" i="17"/>
  <c r="E6" i="17"/>
  <c r="J5" i="17"/>
  <c r="G5" i="17"/>
  <c r="J4" i="17"/>
  <c r="G4" i="17"/>
  <c r="O8" i="4"/>
  <c r="O9" i="4"/>
  <c r="O12" i="4"/>
  <c r="O19" i="4"/>
  <c r="O21" i="4"/>
  <c r="O22" i="4"/>
  <c r="O23" i="4"/>
  <c r="O24" i="4"/>
  <c r="O25" i="4"/>
  <c r="O26" i="4"/>
  <c r="O27" i="4"/>
  <c r="O29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6" i="4"/>
  <c r="O47" i="4"/>
  <c r="O51" i="4"/>
  <c r="O52" i="4"/>
  <c r="O53" i="4"/>
  <c r="O61" i="4"/>
  <c r="O62" i="4"/>
  <c r="O63" i="4"/>
  <c r="O65" i="4"/>
  <c r="O66" i="4"/>
  <c r="O69" i="4"/>
  <c r="O70" i="4"/>
  <c r="O71" i="4"/>
  <c r="O72" i="4"/>
  <c r="O73" i="4"/>
  <c r="O74" i="4"/>
  <c r="O75" i="4"/>
  <c r="O76" i="4"/>
  <c r="O83" i="4"/>
  <c r="O84" i="4"/>
  <c r="O85" i="4"/>
  <c r="O86" i="4"/>
  <c r="O87" i="4"/>
  <c r="O88" i="4"/>
  <c r="O89" i="4"/>
  <c r="O90" i="4"/>
  <c r="P74" i="13"/>
  <c r="P81" i="13"/>
  <c r="P82" i="13"/>
  <c r="P87" i="13"/>
  <c r="P8" i="13"/>
  <c r="P9" i="13"/>
  <c r="P12" i="13"/>
  <c r="P19" i="13"/>
  <c r="P21" i="13"/>
  <c r="P22" i="13"/>
  <c r="P23" i="13"/>
  <c r="P24" i="13"/>
  <c r="P25" i="13"/>
  <c r="P26" i="13"/>
  <c r="P27" i="13"/>
  <c r="P29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6" i="13"/>
  <c r="P47" i="13"/>
  <c r="P50" i="13"/>
  <c r="P52" i="13"/>
  <c r="P53" i="13"/>
  <c r="P56" i="13"/>
  <c r="P61" i="13"/>
  <c r="P65" i="13"/>
  <c r="P66" i="13"/>
  <c r="P67" i="13"/>
  <c r="P68" i="13"/>
  <c r="P71" i="13"/>
  <c r="P72" i="13"/>
  <c r="P73" i="13"/>
  <c r="P75" i="13"/>
  <c r="P76" i="13"/>
  <c r="P83" i="13"/>
  <c r="P84" i="13"/>
  <c r="P85" i="13"/>
  <c r="P86" i="13"/>
  <c r="P88" i="13"/>
  <c r="P89" i="13"/>
  <c r="P90" i="13"/>
  <c r="P85" i="11"/>
  <c r="P86" i="11"/>
  <c r="P8" i="11"/>
  <c r="P9" i="11"/>
  <c r="P12" i="11"/>
  <c r="P19" i="11"/>
  <c r="P21" i="11"/>
  <c r="P22" i="11"/>
  <c r="P23" i="11"/>
  <c r="P24" i="11"/>
  <c r="P25" i="11"/>
  <c r="P26" i="11"/>
  <c r="P27" i="11"/>
  <c r="P29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6" i="11"/>
  <c r="P47" i="11"/>
  <c r="P50" i="11"/>
  <c r="P51" i="11"/>
  <c r="P52" i="11"/>
  <c r="P56" i="11"/>
  <c r="P61" i="11"/>
  <c r="P65" i="11"/>
  <c r="P66" i="11"/>
  <c r="P67" i="11"/>
  <c r="P68" i="11"/>
  <c r="P69" i="11"/>
  <c r="P70" i="11"/>
  <c r="P71" i="11"/>
  <c r="P72" i="11"/>
  <c r="P75" i="11"/>
  <c r="P76" i="11"/>
  <c r="P81" i="11"/>
  <c r="P82" i="11"/>
  <c r="P83" i="11"/>
  <c r="P84" i="11"/>
  <c r="P87" i="11"/>
  <c r="P88" i="11"/>
  <c r="P89" i="11"/>
  <c r="P90" i="11"/>
  <c r="P75" i="14"/>
  <c r="P76" i="14"/>
  <c r="P81" i="14"/>
  <c r="P8" i="14"/>
  <c r="P9" i="14"/>
  <c r="P12" i="14"/>
  <c r="P19" i="14"/>
  <c r="P21" i="14"/>
  <c r="P22" i="14"/>
  <c r="P23" i="14"/>
  <c r="P24" i="14"/>
  <c r="P25" i="14"/>
  <c r="P26" i="14"/>
  <c r="P27" i="14"/>
  <c r="P29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6" i="14"/>
  <c r="P47" i="14"/>
  <c r="P50" i="14"/>
  <c r="P51" i="14"/>
  <c r="P52" i="14"/>
  <c r="P56" i="14"/>
  <c r="P61" i="14"/>
  <c r="P65" i="14"/>
  <c r="P66" i="14"/>
  <c r="P67" i="14"/>
  <c r="P68" i="14"/>
  <c r="P69" i="14"/>
  <c r="P70" i="14"/>
  <c r="P71" i="14"/>
  <c r="P72" i="14"/>
  <c r="P82" i="14"/>
  <c r="P83" i="14"/>
  <c r="P84" i="14"/>
  <c r="P85" i="14"/>
  <c r="P86" i="14"/>
  <c r="P87" i="14"/>
  <c r="P88" i="14"/>
  <c r="P89" i="14"/>
  <c r="P90" i="14"/>
  <c r="P88" i="15"/>
  <c r="P89" i="15"/>
  <c r="P90" i="15"/>
  <c r="O4" i="15"/>
  <c r="P4" i="15" s="1"/>
  <c r="P75" i="16"/>
  <c r="P76" i="16"/>
  <c r="P81" i="16"/>
  <c r="P87" i="16"/>
  <c r="G70" i="16"/>
  <c r="H70" i="16"/>
  <c r="J70" i="16"/>
  <c r="G69" i="16"/>
  <c r="H69" i="16"/>
  <c r="J69" i="16"/>
  <c r="E70" i="16"/>
  <c r="E69" i="16"/>
  <c r="I51" i="16"/>
  <c r="F51" i="16"/>
  <c r="G51" i="16"/>
  <c r="H51" i="16"/>
  <c r="J51" i="16"/>
  <c r="E51" i="16"/>
  <c r="I44" i="16"/>
  <c r="J44" i="16"/>
  <c r="H44" i="16"/>
  <c r="F45" i="16"/>
  <c r="G45" i="16"/>
  <c r="E45" i="16"/>
  <c r="G18" i="16"/>
  <c r="F20" i="16"/>
  <c r="E20" i="16"/>
  <c r="J10" i="16"/>
  <c r="O10" i="16" s="1"/>
  <c r="P10" i="16" s="1"/>
  <c r="I11" i="16"/>
  <c r="H11" i="16"/>
  <c r="J5" i="16"/>
  <c r="G5" i="16"/>
  <c r="F7" i="16"/>
  <c r="H7" i="16"/>
  <c r="I7" i="16"/>
  <c r="E7" i="16"/>
  <c r="H6" i="16"/>
  <c r="I6" i="16"/>
  <c r="J4" i="16"/>
  <c r="G4" i="16"/>
  <c r="F6" i="16"/>
  <c r="E6" i="16"/>
  <c r="P90" i="16"/>
  <c r="P89" i="16"/>
  <c r="P88" i="16"/>
  <c r="P86" i="16"/>
  <c r="P85" i="16"/>
  <c r="P84" i="16"/>
  <c r="P83" i="16"/>
  <c r="P82" i="16"/>
  <c r="G80" i="16"/>
  <c r="E80" i="16"/>
  <c r="G79" i="16"/>
  <c r="E79" i="16"/>
  <c r="J78" i="16"/>
  <c r="H78" i="16"/>
  <c r="J77" i="16"/>
  <c r="H77" i="16"/>
  <c r="P74" i="16"/>
  <c r="P73" i="16"/>
  <c r="P72" i="16"/>
  <c r="P71" i="16"/>
  <c r="P68" i="16"/>
  <c r="P67" i="16"/>
  <c r="P66" i="16"/>
  <c r="P65" i="16"/>
  <c r="J64" i="16"/>
  <c r="I64" i="16"/>
  <c r="H64" i="16"/>
  <c r="G64" i="16"/>
  <c r="F64" i="16"/>
  <c r="E64" i="16"/>
  <c r="I63" i="16"/>
  <c r="H63" i="16"/>
  <c r="F63" i="16"/>
  <c r="E63" i="16"/>
  <c r="J62" i="16"/>
  <c r="G62" i="16"/>
  <c r="P61" i="16"/>
  <c r="J60" i="16"/>
  <c r="I60" i="16"/>
  <c r="H60" i="16"/>
  <c r="G60" i="16"/>
  <c r="F60" i="16"/>
  <c r="E60" i="16"/>
  <c r="J59" i="16"/>
  <c r="I59" i="16"/>
  <c r="H59" i="16"/>
  <c r="G59" i="16"/>
  <c r="F59" i="16"/>
  <c r="E59" i="16"/>
  <c r="J58" i="16"/>
  <c r="I58" i="16"/>
  <c r="H58" i="16"/>
  <c r="G58" i="16"/>
  <c r="F58" i="16"/>
  <c r="E58" i="16"/>
  <c r="J57" i="16"/>
  <c r="I57" i="16"/>
  <c r="H57" i="16"/>
  <c r="G57" i="16"/>
  <c r="F57" i="16"/>
  <c r="E57" i="16"/>
  <c r="P56" i="16"/>
  <c r="G55" i="16"/>
  <c r="F55" i="16"/>
  <c r="E55" i="16"/>
  <c r="J54" i="16"/>
  <c r="I54" i="16"/>
  <c r="H54" i="16"/>
  <c r="P53" i="16"/>
  <c r="P52" i="16"/>
  <c r="P50" i="16"/>
  <c r="I49" i="16"/>
  <c r="H49" i="16"/>
  <c r="F49" i="16"/>
  <c r="E49" i="16"/>
  <c r="J48" i="16"/>
  <c r="G48" i="16"/>
  <c r="P47" i="16"/>
  <c r="P46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29" i="16"/>
  <c r="P27" i="16"/>
  <c r="P26" i="16"/>
  <c r="P25" i="16"/>
  <c r="P24" i="16"/>
  <c r="P23" i="16"/>
  <c r="P22" i="16"/>
  <c r="P21" i="16"/>
  <c r="P19" i="16"/>
  <c r="P12" i="16"/>
  <c r="P9" i="16"/>
  <c r="P8" i="16"/>
  <c r="I52" i="15"/>
  <c r="F52" i="15"/>
  <c r="G52" i="15"/>
  <c r="H52" i="15"/>
  <c r="J52" i="15"/>
  <c r="E52" i="15"/>
  <c r="H72" i="15"/>
  <c r="J72" i="15"/>
  <c r="H71" i="15"/>
  <c r="J71" i="15"/>
  <c r="G72" i="15"/>
  <c r="G71" i="15"/>
  <c r="E72" i="15"/>
  <c r="E71" i="15"/>
  <c r="I44" i="15"/>
  <c r="J44" i="15"/>
  <c r="H44" i="15"/>
  <c r="O44" i="15" s="1"/>
  <c r="F45" i="15"/>
  <c r="G45" i="15"/>
  <c r="E45" i="15"/>
  <c r="F20" i="15"/>
  <c r="E20" i="15"/>
  <c r="G18" i="15"/>
  <c r="I11" i="15"/>
  <c r="H11" i="15"/>
  <c r="J10" i="15"/>
  <c r="O10" i="15" s="1"/>
  <c r="P10" i="15" s="1"/>
  <c r="J5" i="15"/>
  <c r="I7" i="15"/>
  <c r="H7" i="15"/>
  <c r="G5" i="15"/>
  <c r="F7" i="15"/>
  <c r="E7" i="15"/>
  <c r="P87" i="15"/>
  <c r="P86" i="15"/>
  <c r="P85" i="15"/>
  <c r="P84" i="15"/>
  <c r="P83" i="15"/>
  <c r="P82" i="15"/>
  <c r="P81" i="15"/>
  <c r="G80" i="15"/>
  <c r="E80" i="15"/>
  <c r="G79" i="15"/>
  <c r="E79" i="15"/>
  <c r="J78" i="15"/>
  <c r="H78" i="15"/>
  <c r="J77" i="15"/>
  <c r="H77" i="15"/>
  <c r="P76" i="15"/>
  <c r="P75" i="15"/>
  <c r="P74" i="15"/>
  <c r="P73" i="15"/>
  <c r="P70" i="15"/>
  <c r="P69" i="15"/>
  <c r="P68" i="15"/>
  <c r="P67" i="15"/>
  <c r="P66" i="15"/>
  <c r="P65" i="15"/>
  <c r="J64" i="15"/>
  <c r="I64" i="15"/>
  <c r="H64" i="15"/>
  <c r="G64" i="15"/>
  <c r="F64" i="15"/>
  <c r="E64" i="15"/>
  <c r="I63" i="15"/>
  <c r="H63" i="15"/>
  <c r="F63" i="15"/>
  <c r="E63" i="15"/>
  <c r="J62" i="15"/>
  <c r="G62" i="15"/>
  <c r="P61" i="15"/>
  <c r="J60" i="15"/>
  <c r="I60" i="15"/>
  <c r="H60" i="15"/>
  <c r="G60" i="15"/>
  <c r="F60" i="15"/>
  <c r="E60" i="15"/>
  <c r="J59" i="15"/>
  <c r="I59" i="15"/>
  <c r="H59" i="15"/>
  <c r="G59" i="15"/>
  <c r="F59" i="15"/>
  <c r="E59" i="15"/>
  <c r="J58" i="15"/>
  <c r="I58" i="15"/>
  <c r="H58" i="15"/>
  <c r="G58" i="15"/>
  <c r="F58" i="15"/>
  <c r="E58" i="15"/>
  <c r="J57" i="15"/>
  <c r="I57" i="15"/>
  <c r="H57" i="15"/>
  <c r="G57" i="15"/>
  <c r="F57" i="15"/>
  <c r="E57" i="15"/>
  <c r="P56" i="15"/>
  <c r="G55" i="15"/>
  <c r="F55" i="15"/>
  <c r="E55" i="15"/>
  <c r="J54" i="15"/>
  <c r="I54" i="15"/>
  <c r="H54" i="15"/>
  <c r="P53" i="15"/>
  <c r="P51" i="15"/>
  <c r="P50" i="15"/>
  <c r="I49" i="15"/>
  <c r="H49" i="15"/>
  <c r="F49" i="15"/>
  <c r="E49" i="15"/>
  <c r="J48" i="15"/>
  <c r="G48" i="15"/>
  <c r="P47" i="15"/>
  <c r="P46" i="15"/>
  <c r="P43" i="15"/>
  <c r="P42" i="15"/>
  <c r="P41" i="15"/>
  <c r="P40" i="15"/>
  <c r="P39" i="15"/>
  <c r="P38" i="15"/>
  <c r="P37" i="15"/>
  <c r="P36" i="15"/>
  <c r="P35" i="15"/>
  <c r="P34" i="15"/>
  <c r="P33" i="15"/>
  <c r="P32" i="15"/>
  <c r="P31" i="15"/>
  <c r="P29" i="15"/>
  <c r="P27" i="15"/>
  <c r="P26" i="15"/>
  <c r="P25" i="15"/>
  <c r="P24" i="15"/>
  <c r="P23" i="15"/>
  <c r="P22" i="15"/>
  <c r="P21" i="15"/>
  <c r="P19" i="15"/>
  <c r="P12" i="15"/>
  <c r="P9" i="15"/>
  <c r="P8" i="15"/>
  <c r="P6" i="15"/>
  <c r="J78" i="14"/>
  <c r="J77" i="14"/>
  <c r="H78" i="14"/>
  <c r="H77" i="14"/>
  <c r="G80" i="14"/>
  <c r="G79" i="14"/>
  <c r="E80" i="14"/>
  <c r="E79" i="14"/>
  <c r="O79" i="14" s="1"/>
  <c r="J64" i="14"/>
  <c r="I64" i="14"/>
  <c r="H64" i="14"/>
  <c r="G64" i="14"/>
  <c r="F64" i="14"/>
  <c r="E64" i="14"/>
  <c r="I60" i="14"/>
  <c r="I59" i="14"/>
  <c r="I58" i="14"/>
  <c r="I57" i="14"/>
  <c r="J60" i="14"/>
  <c r="J59" i="14"/>
  <c r="J58" i="14"/>
  <c r="J57" i="14"/>
  <c r="H60" i="14"/>
  <c r="H59" i="14"/>
  <c r="H58" i="14"/>
  <c r="H57" i="14"/>
  <c r="G60" i="14"/>
  <c r="G59" i="14"/>
  <c r="G58" i="14"/>
  <c r="G57" i="14"/>
  <c r="F60" i="14"/>
  <c r="F59" i="14"/>
  <c r="F58" i="14"/>
  <c r="F57" i="14"/>
  <c r="E60" i="14"/>
  <c r="E59" i="14"/>
  <c r="E58" i="14"/>
  <c r="E57" i="14"/>
  <c r="J54" i="14"/>
  <c r="I54" i="14"/>
  <c r="H54" i="14"/>
  <c r="O54" i="14" s="1"/>
  <c r="G55" i="14"/>
  <c r="F55" i="14"/>
  <c r="E55" i="14"/>
  <c r="I44" i="14"/>
  <c r="J44" i="14"/>
  <c r="H44" i="14"/>
  <c r="F45" i="14"/>
  <c r="G45" i="14"/>
  <c r="E45" i="14"/>
  <c r="J10" i="14"/>
  <c r="O10" i="14" s="1"/>
  <c r="P10" i="14" s="1"/>
  <c r="I11" i="14"/>
  <c r="H11" i="14"/>
  <c r="O11" i="14" s="1"/>
  <c r="G18" i="14"/>
  <c r="F20" i="14"/>
  <c r="E20" i="14"/>
  <c r="J74" i="14"/>
  <c r="H74" i="14"/>
  <c r="G74" i="14"/>
  <c r="E74" i="14"/>
  <c r="J73" i="14"/>
  <c r="H73" i="14"/>
  <c r="G73" i="14"/>
  <c r="E73" i="14"/>
  <c r="I63" i="14"/>
  <c r="H63" i="14"/>
  <c r="F63" i="14"/>
  <c r="E63" i="14"/>
  <c r="J62" i="14"/>
  <c r="G62" i="14"/>
  <c r="J53" i="14"/>
  <c r="I53" i="14"/>
  <c r="H53" i="14"/>
  <c r="G53" i="14"/>
  <c r="F53" i="14"/>
  <c r="E53" i="14"/>
  <c r="I49" i="14"/>
  <c r="H49" i="14"/>
  <c r="F49" i="14"/>
  <c r="E49" i="14"/>
  <c r="J48" i="14"/>
  <c r="G48" i="14"/>
  <c r="I7" i="14"/>
  <c r="H7" i="14"/>
  <c r="F7" i="14"/>
  <c r="E7" i="14"/>
  <c r="I6" i="14"/>
  <c r="H6" i="14"/>
  <c r="F6" i="14"/>
  <c r="E6" i="14"/>
  <c r="J5" i="14"/>
  <c r="G5" i="14"/>
  <c r="J4" i="14"/>
  <c r="G4" i="14"/>
  <c r="J74" i="11"/>
  <c r="H74" i="11"/>
  <c r="I7" i="11"/>
  <c r="F7" i="11"/>
  <c r="H7" i="11"/>
  <c r="E7" i="11"/>
  <c r="G44" i="10"/>
  <c r="F45" i="10"/>
  <c r="E46" i="10"/>
  <c r="E39" i="10"/>
  <c r="F38" i="10"/>
  <c r="G37" i="10"/>
  <c r="O84" i="10"/>
  <c r="P84" i="10" s="1"/>
  <c r="O85" i="10"/>
  <c r="P85" i="10" s="1"/>
  <c r="O86" i="10"/>
  <c r="P86" i="10" s="1"/>
  <c r="O87" i="10"/>
  <c r="P87" i="10" s="1"/>
  <c r="O88" i="10"/>
  <c r="P88" i="10" s="1"/>
  <c r="O89" i="10"/>
  <c r="P89" i="10" s="1"/>
  <c r="O90" i="10"/>
  <c r="P90" i="10" s="1"/>
  <c r="O83" i="10"/>
  <c r="P83" i="10" s="1"/>
  <c r="G44" i="6"/>
  <c r="F45" i="6"/>
  <c r="E46" i="6"/>
  <c r="G37" i="6"/>
  <c r="F38" i="6"/>
  <c r="E39" i="6"/>
  <c r="P83" i="6"/>
  <c r="P84" i="6"/>
  <c r="P85" i="6"/>
  <c r="P86" i="6"/>
  <c r="P87" i="6"/>
  <c r="P88" i="6"/>
  <c r="P89" i="6"/>
  <c r="P90" i="6"/>
  <c r="O59" i="18" l="1"/>
  <c r="O64" i="16"/>
  <c r="O49" i="17"/>
  <c r="O79" i="19"/>
  <c r="O69" i="20"/>
  <c r="O78" i="20"/>
  <c r="P78" i="20" s="1"/>
  <c r="O70" i="17"/>
  <c r="O80" i="17"/>
  <c r="O49" i="19"/>
  <c r="O55" i="19"/>
  <c r="O80" i="19"/>
  <c r="O20" i="20"/>
  <c r="O63" i="20"/>
  <c r="O55" i="15"/>
  <c r="O80" i="16"/>
  <c r="P80" i="16" s="1"/>
  <c r="O57" i="17"/>
  <c r="O64" i="19"/>
  <c r="O44" i="21"/>
  <c r="O7" i="15"/>
  <c r="O49" i="14"/>
  <c r="O78" i="18"/>
  <c r="P78" i="18" s="1"/>
  <c r="O44" i="14"/>
  <c r="O11" i="20"/>
  <c r="O7" i="17"/>
  <c r="O79" i="17"/>
  <c r="O55" i="17"/>
  <c r="O54" i="19"/>
  <c r="O44" i="19"/>
  <c r="P44" i="19" s="1"/>
  <c r="O11" i="19"/>
  <c r="O6" i="19"/>
  <c r="P6" i="19" s="1"/>
  <c r="O58" i="19"/>
  <c r="O59" i="19"/>
  <c r="P59" i="19" s="1"/>
  <c r="O63" i="19"/>
  <c r="O44" i="20"/>
  <c r="P44" i="20" s="1"/>
  <c r="O58" i="20"/>
  <c r="P58" i="20" s="1"/>
  <c r="O51" i="20"/>
  <c r="O45" i="20"/>
  <c r="O60" i="20"/>
  <c r="P60" i="20" s="1"/>
  <c r="O52" i="21"/>
  <c r="O60" i="21"/>
  <c r="O63" i="21"/>
  <c r="O58" i="21"/>
  <c r="O4" i="22"/>
  <c r="P4" i="22" s="1"/>
  <c r="O74" i="22"/>
  <c r="P74" i="22" s="1"/>
  <c r="O60" i="22"/>
  <c r="P60" i="22" s="1"/>
  <c r="O45" i="22"/>
  <c r="O7" i="11"/>
  <c r="P7" i="11" s="1"/>
  <c r="O7" i="16"/>
  <c r="O58" i="16"/>
  <c r="O45" i="16"/>
  <c r="O51" i="16"/>
  <c r="O52" i="15"/>
  <c r="O54" i="15"/>
  <c r="O64" i="15"/>
  <c r="P64" i="15" s="1"/>
  <c r="O57" i="15"/>
  <c r="O71" i="15"/>
  <c r="O20" i="15"/>
  <c r="P20" i="15" s="1"/>
  <c r="O49" i="15"/>
  <c r="O20" i="14"/>
  <c r="O63" i="14"/>
  <c r="O57" i="14"/>
  <c r="P57" i="14" s="1"/>
  <c r="O60" i="14"/>
  <c r="O7" i="14"/>
  <c r="P7" i="14" s="1"/>
  <c r="O45" i="14"/>
  <c r="P45" i="14" s="1"/>
  <c r="O73" i="14"/>
  <c r="P73" i="14" s="1"/>
  <c r="O6" i="14"/>
  <c r="P6" i="14" s="1"/>
  <c r="O18" i="15"/>
  <c r="P18" i="15" s="1"/>
  <c r="O77" i="16"/>
  <c r="P77" i="16" s="1"/>
  <c r="O6" i="16"/>
  <c r="O4" i="17"/>
  <c r="P4" i="17" s="1"/>
  <c r="O11" i="17"/>
  <c r="P11" i="17" s="1"/>
  <c r="O58" i="17"/>
  <c r="P58" i="17" s="1"/>
  <c r="O45" i="19"/>
  <c r="O57" i="20"/>
  <c r="P57" i="20" s="1"/>
  <c r="O57" i="21"/>
  <c r="P57" i="21" s="1"/>
  <c r="O20" i="22"/>
  <c r="P20" i="22" s="1"/>
  <c r="O63" i="22"/>
  <c r="O79" i="22"/>
  <c r="P79" i="22" s="1"/>
  <c r="O18" i="16"/>
  <c r="P18" i="16" s="1"/>
  <c r="O77" i="17"/>
  <c r="P77" i="17" s="1"/>
  <c r="O49" i="22"/>
  <c r="P49" i="22" s="1"/>
  <c r="O55" i="22"/>
  <c r="P55" i="22" s="1"/>
  <c r="O59" i="22"/>
  <c r="P59" i="22" s="1"/>
  <c r="O62" i="15"/>
  <c r="P62" i="15" s="1"/>
  <c r="O78" i="16"/>
  <c r="P78" i="16" s="1"/>
  <c r="O4" i="16"/>
  <c r="P4" i="16" s="1"/>
  <c r="P5" i="17"/>
  <c r="O5" i="17"/>
  <c r="O77" i="19"/>
  <c r="P77" i="19" s="1"/>
  <c r="O73" i="22"/>
  <c r="P73" i="22" s="1"/>
  <c r="O80" i="22"/>
  <c r="P80" i="22" s="1"/>
  <c r="O80" i="14"/>
  <c r="P80" i="14" s="1"/>
  <c r="O45" i="15"/>
  <c r="P45" i="15" s="1"/>
  <c r="O48" i="16"/>
  <c r="P48" i="16" s="1"/>
  <c r="O57" i="16"/>
  <c r="P57" i="16" s="1"/>
  <c r="O18" i="17"/>
  <c r="P18" i="17" s="1"/>
  <c r="O54" i="17"/>
  <c r="P54" i="17" s="1"/>
  <c r="O62" i="17"/>
  <c r="P62" i="17" s="1"/>
  <c r="O69" i="17"/>
  <c r="P69" i="17" s="1"/>
  <c r="O78" i="17"/>
  <c r="P78" i="17" s="1"/>
  <c r="O5" i="19"/>
  <c r="P5" i="19" s="1"/>
  <c r="O18" i="14"/>
  <c r="P18" i="14" s="1"/>
  <c r="O63" i="15"/>
  <c r="P63" i="15" s="1"/>
  <c r="O79" i="16"/>
  <c r="P79" i="16" s="1"/>
  <c r="O48" i="17"/>
  <c r="P48" i="17" s="1"/>
  <c r="O18" i="19"/>
  <c r="P18" i="19" s="1"/>
  <c r="O62" i="19"/>
  <c r="P62" i="19" s="1"/>
  <c r="O78" i="19"/>
  <c r="P78" i="19" s="1"/>
  <c r="O4" i="20"/>
  <c r="P4" i="20" s="1"/>
  <c r="O64" i="22"/>
  <c r="P64" i="22" s="1"/>
  <c r="O58" i="14"/>
  <c r="P58" i="14" s="1"/>
  <c r="O59" i="15"/>
  <c r="P59" i="15" s="1"/>
  <c r="O49" i="16"/>
  <c r="P49" i="16" s="1"/>
  <c r="O60" i="16"/>
  <c r="P60" i="16" s="1"/>
  <c r="O44" i="16"/>
  <c r="P44" i="16" s="1"/>
  <c r="O6" i="17"/>
  <c r="P6" i="17" s="1"/>
  <c r="O20" i="17"/>
  <c r="P20" i="17" s="1"/>
  <c r="O63" i="17"/>
  <c r="P63" i="17" s="1"/>
  <c r="P48" i="19"/>
  <c r="O48" i="19"/>
  <c r="O45" i="21"/>
  <c r="P45" i="21" s="1"/>
  <c r="O57" i="22"/>
  <c r="P57" i="22" s="1"/>
  <c r="O59" i="17"/>
  <c r="P59" i="17" s="1"/>
  <c r="O20" i="19"/>
  <c r="P20" i="19" s="1"/>
  <c r="O11" i="21"/>
  <c r="P11" i="21" s="1"/>
  <c r="O5" i="20"/>
  <c r="P5" i="20" s="1"/>
  <c r="O77" i="20"/>
  <c r="P77" i="20" s="1"/>
  <c r="O44" i="22"/>
  <c r="P44" i="22" s="1"/>
  <c r="O77" i="15"/>
  <c r="P77" i="15" s="1"/>
  <c r="O73" i="19"/>
  <c r="P73" i="19" s="1"/>
  <c r="O18" i="20"/>
  <c r="P18" i="20" s="1"/>
  <c r="O77" i="21"/>
  <c r="P77" i="21" s="1"/>
  <c r="O53" i="22"/>
  <c r="P53" i="22" s="1"/>
  <c r="O48" i="15"/>
  <c r="P48" i="15" s="1"/>
  <c r="O5" i="15"/>
  <c r="P5" i="15" s="1"/>
  <c r="O64" i="17"/>
  <c r="O54" i="20"/>
  <c r="P54" i="20" s="1"/>
  <c r="O62" i="20"/>
  <c r="P62" i="20" s="1"/>
  <c r="O18" i="21"/>
  <c r="P18" i="21" s="1"/>
  <c r="O54" i="21"/>
  <c r="P54" i="21" s="1"/>
  <c r="O62" i="21"/>
  <c r="P62" i="21" s="1"/>
  <c r="O5" i="16"/>
  <c r="P5" i="16" s="1"/>
  <c r="O48" i="20"/>
  <c r="P48" i="20" s="1"/>
  <c r="O48" i="21"/>
  <c r="P48" i="21" s="1"/>
  <c r="O78" i="21"/>
  <c r="P78" i="21" s="1"/>
  <c r="O51" i="17"/>
  <c r="P51" i="17" s="1"/>
  <c r="O57" i="19"/>
  <c r="P57" i="19" s="1"/>
  <c r="P20" i="20"/>
  <c r="O5" i="21"/>
  <c r="P5" i="21" s="1"/>
  <c r="O20" i="21"/>
  <c r="P20" i="21" s="1"/>
  <c r="O71" i="21"/>
  <c r="P71" i="21" s="1"/>
  <c r="O11" i="22"/>
  <c r="P11" i="22" s="1"/>
  <c r="O58" i="22"/>
  <c r="P58" i="22" s="1"/>
  <c r="O77" i="14"/>
  <c r="P77" i="14" s="1"/>
  <c r="O72" i="15"/>
  <c r="P72" i="15" s="1"/>
  <c r="O60" i="15"/>
  <c r="P60" i="15" s="1"/>
  <c r="O4" i="14"/>
  <c r="P4" i="14" s="1"/>
  <c r="O64" i="14"/>
  <c r="P64" i="14" s="1"/>
  <c r="O79" i="15"/>
  <c r="P79" i="15" s="1"/>
  <c r="O54" i="16"/>
  <c r="P54" i="16" s="1"/>
  <c r="O62" i="16"/>
  <c r="P62" i="16" s="1"/>
  <c r="O11" i="16"/>
  <c r="O44" i="17"/>
  <c r="P44" i="17" s="1"/>
  <c r="O60" i="17"/>
  <c r="P60" i="17" s="1"/>
  <c r="O74" i="19"/>
  <c r="O49" i="20"/>
  <c r="P49" i="20" s="1"/>
  <c r="O55" i="20"/>
  <c r="P55" i="20" s="1"/>
  <c r="O59" i="20"/>
  <c r="P59" i="20" s="1"/>
  <c r="O79" i="20"/>
  <c r="P79" i="20" s="1"/>
  <c r="O49" i="21"/>
  <c r="P49" i="21" s="1"/>
  <c r="O55" i="21"/>
  <c r="P55" i="21" s="1"/>
  <c r="O59" i="21"/>
  <c r="P59" i="21" s="1"/>
  <c r="O79" i="21"/>
  <c r="P79" i="21" s="1"/>
  <c r="O77" i="22"/>
  <c r="P77" i="22" s="1"/>
  <c r="O62" i="14"/>
  <c r="P62" i="14" s="1"/>
  <c r="O78" i="14"/>
  <c r="P78" i="14" s="1"/>
  <c r="O60" i="19"/>
  <c r="P60" i="19" s="1"/>
  <c r="O70" i="20"/>
  <c r="P70" i="20" s="1"/>
  <c r="O5" i="22"/>
  <c r="P5" i="22" s="1"/>
  <c r="P92" i="25"/>
  <c r="O78" i="15"/>
  <c r="P78" i="15" s="1"/>
  <c r="O5" i="14"/>
  <c r="P5" i="14" s="1"/>
  <c r="O53" i="14"/>
  <c r="P53" i="14" s="1"/>
  <c r="O74" i="14"/>
  <c r="P74" i="14" s="1"/>
  <c r="O55" i="14"/>
  <c r="P55" i="14" s="1"/>
  <c r="O80" i="15"/>
  <c r="P80" i="15" s="1"/>
  <c r="O11" i="15"/>
  <c r="P11" i="15" s="1"/>
  <c r="O63" i="16"/>
  <c r="P63" i="16" s="1"/>
  <c r="O69" i="16"/>
  <c r="P69" i="16" s="1"/>
  <c r="O53" i="19"/>
  <c r="P53" i="19" s="1"/>
  <c r="O7" i="20"/>
  <c r="O80" i="20"/>
  <c r="P80" i="20" s="1"/>
  <c r="O7" i="21"/>
  <c r="P7" i="21" s="1"/>
  <c r="O80" i="21"/>
  <c r="P80" i="21" s="1"/>
  <c r="O18" i="22"/>
  <c r="P18" i="22" s="1"/>
  <c r="O54" i="22"/>
  <c r="P54" i="22" s="1"/>
  <c r="O62" i="22"/>
  <c r="P62" i="22" s="1"/>
  <c r="O78" i="22"/>
  <c r="P78" i="22" s="1"/>
  <c r="O59" i="14"/>
  <c r="P59" i="14" s="1"/>
  <c r="O48" i="14"/>
  <c r="P48" i="14" s="1"/>
  <c r="O58" i="15"/>
  <c r="P58" i="15" s="1"/>
  <c r="O55" i="16"/>
  <c r="P55" i="16" s="1"/>
  <c r="O59" i="16"/>
  <c r="P59" i="16" s="1"/>
  <c r="O20" i="16"/>
  <c r="P20" i="16" s="1"/>
  <c r="O70" i="16"/>
  <c r="P70" i="16" s="1"/>
  <c r="O45" i="17"/>
  <c r="P45" i="17" s="1"/>
  <c r="O64" i="20"/>
  <c r="P64" i="20" s="1"/>
  <c r="O64" i="21"/>
  <c r="O72" i="21"/>
  <c r="P72" i="21" s="1"/>
  <c r="O6" i="22"/>
  <c r="P6" i="22" s="1"/>
  <c r="O48" i="22"/>
  <c r="P48" i="22" s="1"/>
  <c r="P92" i="24"/>
  <c r="P44" i="15"/>
  <c r="P11" i="16"/>
  <c r="P64" i="17"/>
  <c r="P49" i="17"/>
  <c r="P79" i="17"/>
  <c r="P55" i="17"/>
  <c r="P70" i="17"/>
  <c r="O57" i="18"/>
  <c r="P57" i="18" s="1"/>
  <c r="O44" i="18"/>
  <c r="P44" i="18" s="1"/>
  <c r="O11" i="18"/>
  <c r="P11" i="18" s="1"/>
  <c r="O58" i="18"/>
  <c r="P58" i="18" s="1"/>
  <c r="O77" i="18"/>
  <c r="P77" i="18" s="1"/>
  <c r="O54" i="18"/>
  <c r="P54" i="18" s="1"/>
  <c r="O60" i="18"/>
  <c r="P60" i="18" s="1"/>
  <c r="O18" i="18"/>
  <c r="P18" i="18" s="1"/>
  <c r="O62" i="18"/>
  <c r="P62" i="18" s="1"/>
  <c r="O48" i="18"/>
  <c r="P48" i="18" s="1"/>
  <c r="O5" i="18"/>
  <c r="P5" i="18" s="1"/>
  <c r="O71" i="18"/>
  <c r="P71" i="18" s="1"/>
  <c r="O20" i="18"/>
  <c r="P20" i="18" s="1"/>
  <c r="O63" i="18"/>
  <c r="P63" i="18" s="1"/>
  <c r="O7" i="18"/>
  <c r="P7" i="18" s="1"/>
  <c r="O45" i="18"/>
  <c r="P45" i="18" s="1"/>
  <c r="O79" i="18"/>
  <c r="P79" i="18" s="1"/>
  <c r="O80" i="18"/>
  <c r="P80" i="18" s="1"/>
  <c r="O72" i="18"/>
  <c r="P72" i="18" s="1"/>
  <c r="O64" i="18"/>
  <c r="P64" i="18" s="1"/>
  <c r="O52" i="18"/>
  <c r="P52" i="18" s="1"/>
  <c r="O7" i="19"/>
  <c r="P7" i="19" s="1"/>
  <c r="P74" i="19"/>
  <c r="O4" i="19"/>
  <c r="P4" i="19" s="1"/>
  <c r="P45" i="19"/>
  <c r="P58" i="19"/>
  <c r="O6" i="20"/>
  <c r="P6" i="20" s="1"/>
  <c r="P69" i="20"/>
  <c r="P58" i="21"/>
  <c r="P11" i="19"/>
  <c r="P63" i="22"/>
  <c r="P6" i="16"/>
  <c r="P63" i="20"/>
  <c r="P20" i="14"/>
  <c r="P71" i="15"/>
  <c r="P7" i="22"/>
  <c r="P79" i="14"/>
  <c r="P54" i="15"/>
  <c r="P7" i="16"/>
  <c r="P7" i="17"/>
  <c r="P80" i="17"/>
  <c r="P7" i="20"/>
  <c r="P54" i="19"/>
  <c r="P63" i="21"/>
  <c r="P57" i="17"/>
  <c r="P51" i="20"/>
  <c r="P64" i="21"/>
  <c r="P49" i="19"/>
  <c r="P55" i="19"/>
  <c r="P45" i="22"/>
  <c r="P49" i="18"/>
  <c r="P55" i="18"/>
  <c r="P59" i="18"/>
  <c r="P63" i="19"/>
  <c r="P79" i="19"/>
  <c r="P11" i="20"/>
  <c r="P45" i="20"/>
  <c r="P44" i="21"/>
  <c r="P52" i="21"/>
  <c r="P64" i="19"/>
  <c r="P60" i="21"/>
  <c r="P49" i="14"/>
  <c r="P44" i="14"/>
  <c r="P80" i="19"/>
  <c r="P92" i="23"/>
  <c r="P51" i="16"/>
  <c r="P64" i="16"/>
  <c r="P58" i="16"/>
  <c r="P45" i="16"/>
  <c r="P57" i="15"/>
  <c r="P7" i="15"/>
  <c r="P55" i="15"/>
  <c r="P52" i="15"/>
  <c r="P49" i="15"/>
  <c r="P54" i="14"/>
  <c r="P11" i="14"/>
  <c r="P63" i="14"/>
  <c r="P60" i="14"/>
  <c r="J72" i="12"/>
  <c r="J71" i="12"/>
  <c r="J52" i="12"/>
  <c r="J44" i="12"/>
  <c r="J10" i="12"/>
  <c r="O10" i="12" s="1"/>
  <c r="J5" i="12"/>
  <c r="G72" i="12"/>
  <c r="G71" i="12"/>
  <c r="G52" i="12"/>
  <c r="G45" i="12"/>
  <c r="G18" i="12"/>
  <c r="G5" i="12"/>
  <c r="J73" i="11"/>
  <c r="J53" i="11"/>
  <c r="J44" i="11"/>
  <c r="J10" i="11"/>
  <c r="O10" i="11" s="1"/>
  <c r="P10" i="11" s="1"/>
  <c r="J4" i="11"/>
  <c r="G74" i="11"/>
  <c r="G73" i="11"/>
  <c r="G53" i="11"/>
  <c r="G45" i="11"/>
  <c r="G18" i="11"/>
  <c r="G4" i="11"/>
  <c r="J78" i="12"/>
  <c r="J77" i="12"/>
  <c r="J64" i="12"/>
  <c r="J62" i="12"/>
  <c r="J60" i="12"/>
  <c r="J59" i="12"/>
  <c r="J58" i="12"/>
  <c r="J57" i="12"/>
  <c r="J54" i="12"/>
  <c r="J48" i="12"/>
  <c r="J78" i="11"/>
  <c r="J77" i="11"/>
  <c r="J64" i="11"/>
  <c r="J62" i="11"/>
  <c r="J60" i="11"/>
  <c r="J59" i="11"/>
  <c r="J58" i="11"/>
  <c r="J57" i="11"/>
  <c r="J54" i="11"/>
  <c r="J48" i="11"/>
  <c r="J5" i="11"/>
  <c r="G80" i="12"/>
  <c r="G79" i="12"/>
  <c r="G64" i="12"/>
  <c r="G62" i="12"/>
  <c r="G60" i="12"/>
  <c r="G59" i="12"/>
  <c r="G58" i="12"/>
  <c r="G57" i="12"/>
  <c r="G55" i="12"/>
  <c r="G48" i="12"/>
  <c r="G80" i="11"/>
  <c r="G79" i="11"/>
  <c r="G64" i="11"/>
  <c r="G62" i="11"/>
  <c r="G60" i="11"/>
  <c r="G59" i="11"/>
  <c r="G58" i="11"/>
  <c r="G57" i="11"/>
  <c r="G55" i="11"/>
  <c r="G48" i="11"/>
  <c r="G5" i="11"/>
  <c r="J78" i="13"/>
  <c r="J77" i="13"/>
  <c r="J70" i="13"/>
  <c r="J69" i="13"/>
  <c r="J64" i="13"/>
  <c r="J62" i="13"/>
  <c r="J60" i="13"/>
  <c r="J59" i="13"/>
  <c r="J58" i="13"/>
  <c r="J57" i="13"/>
  <c r="J54" i="13"/>
  <c r="J51" i="13"/>
  <c r="J48" i="13"/>
  <c r="J44" i="13"/>
  <c r="J10" i="13"/>
  <c r="O10" i="13" s="1"/>
  <c r="P10" i="13" s="1"/>
  <c r="J5" i="13"/>
  <c r="J4" i="13"/>
  <c r="G80" i="13"/>
  <c r="G79" i="13"/>
  <c r="G70" i="13"/>
  <c r="H70" i="13"/>
  <c r="G69" i="13"/>
  <c r="H69" i="13"/>
  <c r="E70" i="13"/>
  <c r="E69" i="13"/>
  <c r="G64" i="13"/>
  <c r="G62" i="13"/>
  <c r="O62" i="13" s="1"/>
  <c r="G60" i="13"/>
  <c r="G59" i="13"/>
  <c r="G58" i="13"/>
  <c r="G57" i="13"/>
  <c r="G55" i="13"/>
  <c r="G51" i="13"/>
  <c r="G48" i="13"/>
  <c r="G45" i="13"/>
  <c r="G18" i="13"/>
  <c r="O18" i="13" s="1"/>
  <c r="G5" i="13"/>
  <c r="G4" i="13"/>
  <c r="I44" i="13"/>
  <c r="H44" i="13"/>
  <c r="F45" i="13"/>
  <c r="E45" i="13"/>
  <c r="I51" i="13"/>
  <c r="F51" i="13"/>
  <c r="H51" i="13"/>
  <c r="E51" i="13"/>
  <c r="F20" i="13"/>
  <c r="E20" i="13"/>
  <c r="O20" i="13" s="1"/>
  <c r="I11" i="13"/>
  <c r="H11" i="13"/>
  <c r="F7" i="13"/>
  <c r="H7" i="13"/>
  <c r="I7" i="13"/>
  <c r="E7" i="13"/>
  <c r="F7" i="12"/>
  <c r="H7" i="12"/>
  <c r="I7" i="12"/>
  <c r="E7" i="12"/>
  <c r="E80" i="13"/>
  <c r="E79" i="13"/>
  <c r="H78" i="13"/>
  <c r="H77" i="13"/>
  <c r="I64" i="13"/>
  <c r="H64" i="13"/>
  <c r="F64" i="13"/>
  <c r="E64" i="13"/>
  <c r="I63" i="13"/>
  <c r="H63" i="13"/>
  <c r="F63" i="13"/>
  <c r="E63" i="13"/>
  <c r="I60" i="13"/>
  <c r="H60" i="13"/>
  <c r="F60" i="13"/>
  <c r="E60" i="13"/>
  <c r="I59" i="13"/>
  <c r="H59" i="13"/>
  <c r="F59" i="13"/>
  <c r="E59" i="13"/>
  <c r="I58" i="13"/>
  <c r="H58" i="13"/>
  <c r="F58" i="13"/>
  <c r="E58" i="13"/>
  <c r="I57" i="13"/>
  <c r="H57" i="13"/>
  <c r="F57" i="13"/>
  <c r="E57" i="13"/>
  <c r="F55" i="13"/>
  <c r="E55" i="13"/>
  <c r="I54" i="13"/>
  <c r="H54" i="13"/>
  <c r="I49" i="13"/>
  <c r="H49" i="13"/>
  <c r="F49" i="13"/>
  <c r="E49" i="13"/>
  <c r="I6" i="13"/>
  <c r="H6" i="13"/>
  <c r="F6" i="13"/>
  <c r="E6" i="13"/>
  <c r="O6" i="13" s="1"/>
  <c r="P8" i="12"/>
  <c r="P9" i="12"/>
  <c r="P10" i="12"/>
  <c r="P12" i="12"/>
  <c r="P19" i="12"/>
  <c r="P21" i="12"/>
  <c r="P22" i="12"/>
  <c r="P23" i="12"/>
  <c r="P24" i="12"/>
  <c r="P25" i="12"/>
  <c r="P26" i="12"/>
  <c r="P27" i="12"/>
  <c r="P29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6" i="12"/>
  <c r="P47" i="12"/>
  <c r="P50" i="12"/>
  <c r="P51" i="12"/>
  <c r="P53" i="12"/>
  <c r="P56" i="12"/>
  <c r="P61" i="12"/>
  <c r="P65" i="12"/>
  <c r="P66" i="12"/>
  <c r="P67" i="12"/>
  <c r="P68" i="12"/>
  <c r="P69" i="12"/>
  <c r="P70" i="12"/>
  <c r="P73" i="12"/>
  <c r="P74" i="12"/>
  <c r="P75" i="12"/>
  <c r="P76" i="12"/>
  <c r="P81" i="12"/>
  <c r="P82" i="12"/>
  <c r="P83" i="12"/>
  <c r="P84" i="12"/>
  <c r="P85" i="12"/>
  <c r="P86" i="12"/>
  <c r="P87" i="12"/>
  <c r="P88" i="12"/>
  <c r="P89" i="12"/>
  <c r="P90" i="12"/>
  <c r="P4" i="12"/>
  <c r="H71" i="12"/>
  <c r="E71" i="12"/>
  <c r="H72" i="12"/>
  <c r="E72" i="12"/>
  <c r="I52" i="12"/>
  <c r="F52" i="12"/>
  <c r="H52" i="12"/>
  <c r="E52" i="12"/>
  <c r="I44" i="12"/>
  <c r="H44" i="12"/>
  <c r="F45" i="12"/>
  <c r="E45" i="12"/>
  <c r="I11" i="12"/>
  <c r="H11" i="12"/>
  <c r="F20" i="12"/>
  <c r="E20" i="12"/>
  <c r="O20" i="12" s="1"/>
  <c r="P6" i="12"/>
  <c r="E80" i="12"/>
  <c r="E79" i="12"/>
  <c r="H78" i="12"/>
  <c r="H77" i="12"/>
  <c r="I64" i="12"/>
  <c r="H64" i="12"/>
  <c r="F64" i="12"/>
  <c r="E64" i="12"/>
  <c r="I63" i="12"/>
  <c r="H63" i="12"/>
  <c r="F63" i="12"/>
  <c r="E63" i="12"/>
  <c r="I60" i="12"/>
  <c r="H60" i="12"/>
  <c r="F60" i="12"/>
  <c r="E60" i="12"/>
  <c r="I59" i="12"/>
  <c r="H59" i="12"/>
  <c r="F59" i="12"/>
  <c r="E59" i="12"/>
  <c r="I58" i="12"/>
  <c r="H58" i="12"/>
  <c r="F58" i="12"/>
  <c r="E58" i="12"/>
  <c r="I57" i="12"/>
  <c r="H57" i="12"/>
  <c r="F57" i="12"/>
  <c r="E57" i="12"/>
  <c r="F55" i="12"/>
  <c r="E55" i="12"/>
  <c r="I54" i="12"/>
  <c r="H54" i="12"/>
  <c r="I49" i="12"/>
  <c r="H49" i="12"/>
  <c r="F49" i="12"/>
  <c r="E49" i="12"/>
  <c r="H78" i="11"/>
  <c r="H77" i="11"/>
  <c r="E74" i="11"/>
  <c r="E73" i="11"/>
  <c r="H73" i="11"/>
  <c r="E80" i="11"/>
  <c r="E79" i="11"/>
  <c r="I64" i="11"/>
  <c r="H64" i="11"/>
  <c r="F64" i="11"/>
  <c r="E64" i="11"/>
  <c r="I60" i="11"/>
  <c r="I59" i="11"/>
  <c r="I58" i="11"/>
  <c r="I57" i="11"/>
  <c r="H60" i="11"/>
  <c r="H59" i="11"/>
  <c r="H58" i="11"/>
  <c r="H57" i="11"/>
  <c r="F60" i="11"/>
  <c r="F59" i="11"/>
  <c r="F58" i="11"/>
  <c r="F57" i="11"/>
  <c r="E60" i="11"/>
  <c r="E59" i="11"/>
  <c r="E58" i="11"/>
  <c r="E57" i="11"/>
  <c r="I54" i="11"/>
  <c r="H54" i="11"/>
  <c r="F55" i="11"/>
  <c r="E55" i="11"/>
  <c r="F63" i="11"/>
  <c r="H63" i="11"/>
  <c r="I63" i="11"/>
  <c r="E63" i="11"/>
  <c r="H53" i="11"/>
  <c r="I53" i="11"/>
  <c r="F53" i="11"/>
  <c r="E53" i="11"/>
  <c r="F49" i="11"/>
  <c r="H49" i="11"/>
  <c r="I49" i="11"/>
  <c r="E49" i="11"/>
  <c r="I44" i="11"/>
  <c r="H44" i="11"/>
  <c r="F45" i="11"/>
  <c r="E45" i="11"/>
  <c r="I11" i="11"/>
  <c r="H11" i="11"/>
  <c r="F20" i="11"/>
  <c r="E20" i="11"/>
  <c r="H6" i="11"/>
  <c r="I6" i="11"/>
  <c r="F6" i="11"/>
  <c r="E6" i="11"/>
  <c r="G82" i="10"/>
  <c r="E82" i="10"/>
  <c r="E81" i="10"/>
  <c r="O81" i="10" s="1"/>
  <c r="P81" i="10" s="1"/>
  <c r="F80" i="10"/>
  <c r="O80" i="10" s="1"/>
  <c r="P80" i="10" s="1"/>
  <c r="F79" i="10"/>
  <c r="O79" i="10" s="1"/>
  <c r="P79" i="10" s="1"/>
  <c r="G78" i="10"/>
  <c r="O78" i="10" s="1"/>
  <c r="P78" i="10" s="1"/>
  <c r="G77" i="10"/>
  <c r="O77" i="10" s="1"/>
  <c r="P77" i="10" s="1"/>
  <c r="O76" i="10"/>
  <c r="P76" i="10" s="1"/>
  <c r="O75" i="10"/>
  <c r="P75" i="10" s="1"/>
  <c r="O74" i="10"/>
  <c r="P74" i="10" s="1"/>
  <c r="O73" i="10"/>
  <c r="P73" i="10" s="1"/>
  <c r="O72" i="10"/>
  <c r="P72" i="10" s="1"/>
  <c r="O71" i="10"/>
  <c r="P71" i="10" s="1"/>
  <c r="O70" i="10"/>
  <c r="O69" i="10"/>
  <c r="P69" i="10" s="1"/>
  <c r="O68" i="10"/>
  <c r="P68" i="10" s="1"/>
  <c r="O66" i="10"/>
  <c r="P66" i="10" s="1"/>
  <c r="O65" i="10"/>
  <c r="P65" i="10" s="1"/>
  <c r="G64" i="10"/>
  <c r="F64" i="10"/>
  <c r="E64" i="10"/>
  <c r="O63" i="10"/>
  <c r="P63" i="10" s="1"/>
  <c r="O62" i="10"/>
  <c r="O61" i="10"/>
  <c r="P61" i="10" s="1"/>
  <c r="O60" i="10"/>
  <c r="P60" i="10" s="1"/>
  <c r="O56" i="10"/>
  <c r="P56" i="10" s="1"/>
  <c r="O55" i="10"/>
  <c r="P55" i="10" s="1"/>
  <c r="O54" i="10"/>
  <c r="P54" i="10" s="1"/>
  <c r="O53" i="10"/>
  <c r="P53" i="10" s="1"/>
  <c r="O52" i="10"/>
  <c r="P52" i="10" s="1"/>
  <c r="O51" i="10"/>
  <c r="P51" i="10" s="1"/>
  <c r="G49" i="10"/>
  <c r="F49" i="10"/>
  <c r="E49" i="10"/>
  <c r="O48" i="10"/>
  <c r="P48" i="10" s="1"/>
  <c r="G47" i="10"/>
  <c r="F47" i="10"/>
  <c r="E47" i="10"/>
  <c r="O46" i="10"/>
  <c r="P46" i="10" s="1"/>
  <c r="O45" i="10"/>
  <c r="P45" i="10" s="1"/>
  <c r="O44" i="10"/>
  <c r="P44" i="10" s="1"/>
  <c r="O43" i="10"/>
  <c r="P43" i="10" s="1"/>
  <c r="O42" i="10"/>
  <c r="P42" i="10" s="1"/>
  <c r="O41" i="10"/>
  <c r="P41" i="10" s="1"/>
  <c r="O40" i="10"/>
  <c r="P40" i="10" s="1"/>
  <c r="O39" i="10"/>
  <c r="O38" i="10"/>
  <c r="O37" i="10"/>
  <c r="P37" i="10" s="1"/>
  <c r="O36" i="10"/>
  <c r="P36" i="10" s="1"/>
  <c r="O35" i="10"/>
  <c r="P35" i="10" s="1"/>
  <c r="O34" i="10"/>
  <c r="P34" i="10" s="1"/>
  <c r="O33" i="10"/>
  <c r="P33" i="10" s="1"/>
  <c r="O32" i="10"/>
  <c r="O31" i="10"/>
  <c r="P31" i="10" s="1"/>
  <c r="O29" i="10"/>
  <c r="P29" i="10" s="1"/>
  <c r="O27" i="10"/>
  <c r="P27" i="10" s="1"/>
  <c r="O26" i="10"/>
  <c r="P26" i="10" s="1"/>
  <c r="O25" i="10"/>
  <c r="P25" i="10" s="1"/>
  <c r="O24" i="10"/>
  <c r="P24" i="10" s="1"/>
  <c r="O23" i="10"/>
  <c r="P23" i="10" s="1"/>
  <c r="O22" i="10"/>
  <c r="P22" i="10" s="1"/>
  <c r="O21" i="10"/>
  <c r="P21" i="10" s="1"/>
  <c r="O20" i="10"/>
  <c r="P20" i="10" s="1"/>
  <c r="O18" i="10"/>
  <c r="P18" i="10" s="1"/>
  <c r="O12" i="10"/>
  <c r="P12" i="10" s="1"/>
  <c r="O11" i="10"/>
  <c r="P11" i="10" s="1"/>
  <c r="O10" i="10"/>
  <c r="P10" i="10" s="1"/>
  <c r="G9" i="10"/>
  <c r="F9" i="10"/>
  <c r="E9" i="10"/>
  <c r="G8" i="10"/>
  <c r="F8" i="10"/>
  <c r="E8" i="10"/>
  <c r="O7" i="10"/>
  <c r="P7" i="10" s="1"/>
  <c r="O6" i="10"/>
  <c r="P6" i="10" s="1"/>
  <c r="O5" i="10"/>
  <c r="P5" i="10" s="1"/>
  <c r="O4" i="10"/>
  <c r="P4" i="10" s="1"/>
  <c r="M45" i="9"/>
  <c r="M18" i="9"/>
  <c r="O18" i="9" s="1"/>
  <c r="P18" i="9" s="1"/>
  <c r="K44" i="9"/>
  <c r="L44" i="9"/>
  <c r="J44" i="9"/>
  <c r="L10" i="9"/>
  <c r="O10" i="9" s="1"/>
  <c r="K11" i="9"/>
  <c r="J11" i="9"/>
  <c r="O11" i="9" s="1"/>
  <c r="I45" i="9"/>
  <c r="H45" i="9"/>
  <c r="I20" i="9"/>
  <c r="H20" i="9"/>
  <c r="G19" i="9"/>
  <c r="O19" i="9" s="1"/>
  <c r="F46" i="9"/>
  <c r="G46" i="9"/>
  <c r="E46" i="9"/>
  <c r="F21" i="9"/>
  <c r="E21" i="9"/>
  <c r="O90" i="9"/>
  <c r="O89" i="9"/>
  <c r="O88" i="9"/>
  <c r="O87" i="9"/>
  <c r="O86" i="9"/>
  <c r="O85" i="9"/>
  <c r="O84" i="9"/>
  <c r="O83" i="9"/>
  <c r="G82" i="9"/>
  <c r="E82" i="9"/>
  <c r="G81" i="9"/>
  <c r="E81" i="9"/>
  <c r="M80" i="9"/>
  <c r="H80" i="9"/>
  <c r="M79" i="9"/>
  <c r="H79" i="9"/>
  <c r="L78" i="9"/>
  <c r="J78" i="9"/>
  <c r="L77" i="9"/>
  <c r="J77" i="9"/>
  <c r="O76" i="9"/>
  <c r="O75" i="9"/>
  <c r="O74" i="9"/>
  <c r="O73" i="9"/>
  <c r="O72" i="9"/>
  <c r="O71" i="9"/>
  <c r="O70" i="9"/>
  <c r="O69" i="9"/>
  <c r="M68" i="9"/>
  <c r="L68" i="9"/>
  <c r="J68" i="9"/>
  <c r="H68" i="9"/>
  <c r="G68" i="9"/>
  <c r="E68" i="9"/>
  <c r="M67" i="9"/>
  <c r="L67" i="9"/>
  <c r="J67" i="9"/>
  <c r="H67" i="9"/>
  <c r="G67" i="9"/>
  <c r="E67" i="9"/>
  <c r="O66" i="9"/>
  <c r="O65" i="9"/>
  <c r="P65" i="9" s="1"/>
  <c r="M64" i="9"/>
  <c r="L64" i="9"/>
  <c r="K64" i="9"/>
  <c r="J64" i="9"/>
  <c r="I64" i="9"/>
  <c r="H64" i="9"/>
  <c r="G64" i="9"/>
  <c r="F64" i="9"/>
  <c r="E64" i="9"/>
  <c r="O63" i="9"/>
  <c r="O62" i="9"/>
  <c r="O61" i="9"/>
  <c r="M60" i="9"/>
  <c r="L60" i="9"/>
  <c r="K60" i="9"/>
  <c r="J60" i="9"/>
  <c r="I60" i="9"/>
  <c r="H60" i="9"/>
  <c r="G60" i="9"/>
  <c r="F60" i="9"/>
  <c r="E60" i="9"/>
  <c r="M59" i="9"/>
  <c r="L59" i="9"/>
  <c r="K59" i="9"/>
  <c r="J59" i="9"/>
  <c r="I59" i="9"/>
  <c r="H59" i="9"/>
  <c r="G59" i="9"/>
  <c r="F59" i="9"/>
  <c r="E59" i="9"/>
  <c r="M58" i="9"/>
  <c r="L58" i="9"/>
  <c r="K58" i="9"/>
  <c r="J58" i="9"/>
  <c r="I58" i="9"/>
  <c r="H58" i="9"/>
  <c r="G58" i="9"/>
  <c r="F58" i="9"/>
  <c r="E58" i="9"/>
  <c r="M57" i="9"/>
  <c r="L57" i="9"/>
  <c r="K57" i="9"/>
  <c r="J57" i="9"/>
  <c r="I57" i="9"/>
  <c r="H57" i="9"/>
  <c r="G57" i="9"/>
  <c r="F57" i="9"/>
  <c r="E57" i="9"/>
  <c r="G56" i="9"/>
  <c r="F56" i="9"/>
  <c r="E56" i="9"/>
  <c r="M55" i="9"/>
  <c r="I55" i="9"/>
  <c r="H55" i="9"/>
  <c r="L54" i="9"/>
  <c r="K54" i="9"/>
  <c r="J54" i="9"/>
  <c r="O53" i="9"/>
  <c r="O52" i="9"/>
  <c r="O51" i="9"/>
  <c r="M50" i="9"/>
  <c r="L50" i="9"/>
  <c r="K50" i="9"/>
  <c r="J50" i="9"/>
  <c r="I50" i="9"/>
  <c r="H50" i="9"/>
  <c r="G50" i="9"/>
  <c r="F50" i="9"/>
  <c r="E50" i="9"/>
  <c r="K49" i="9"/>
  <c r="J49" i="9"/>
  <c r="I49" i="9"/>
  <c r="H49" i="9"/>
  <c r="F49" i="9"/>
  <c r="E49" i="9"/>
  <c r="M48" i="9"/>
  <c r="L48" i="9"/>
  <c r="G48" i="9"/>
  <c r="O47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29" i="9"/>
  <c r="O27" i="9"/>
  <c r="O26" i="9"/>
  <c r="O25" i="9"/>
  <c r="O24" i="9"/>
  <c r="O23" i="9"/>
  <c r="P23" i="9" s="1"/>
  <c r="O22" i="9"/>
  <c r="O12" i="9"/>
  <c r="O9" i="9"/>
  <c r="O8" i="9"/>
  <c r="K7" i="9"/>
  <c r="J7" i="9"/>
  <c r="I7" i="9"/>
  <c r="H7" i="9"/>
  <c r="F7" i="9"/>
  <c r="E7" i="9"/>
  <c r="K6" i="9"/>
  <c r="J6" i="9"/>
  <c r="I6" i="9"/>
  <c r="H6" i="9"/>
  <c r="F6" i="9"/>
  <c r="E6" i="9"/>
  <c r="M5" i="9"/>
  <c r="L5" i="9"/>
  <c r="G5" i="9"/>
  <c r="M4" i="9"/>
  <c r="L4" i="9"/>
  <c r="G4" i="9"/>
  <c r="P8" i="8"/>
  <c r="P10" i="8"/>
  <c r="P11" i="8"/>
  <c r="P12" i="8"/>
  <c r="P22" i="8"/>
  <c r="P24" i="8"/>
  <c r="P25" i="8"/>
  <c r="P26" i="8"/>
  <c r="P27" i="8"/>
  <c r="P29" i="8"/>
  <c r="P31" i="8"/>
  <c r="P32" i="8"/>
  <c r="P33" i="8"/>
  <c r="P35" i="8"/>
  <c r="P36" i="8"/>
  <c r="P37" i="8"/>
  <c r="P38" i="8"/>
  <c r="P39" i="8"/>
  <c r="P40" i="8"/>
  <c r="P41" i="8"/>
  <c r="P42" i="8"/>
  <c r="P43" i="8"/>
  <c r="P44" i="8"/>
  <c r="P47" i="8"/>
  <c r="P51" i="8"/>
  <c r="P52" i="8"/>
  <c r="P53" i="8"/>
  <c r="P54" i="8"/>
  <c r="P61" i="8"/>
  <c r="P62" i="8"/>
  <c r="P69" i="8"/>
  <c r="P70" i="8"/>
  <c r="P71" i="8"/>
  <c r="P72" i="8"/>
  <c r="P73" i="8"/>
  <c r="P74" i="8"/>
  <c r="P75" i="8"/>
  <c r="P76" i="8"/>
  <c r="P77" i="8"/>
  <c r="P78" i="8"/>
  <c r="P86" i="8"/>
  <c r="P87" i="8"/>
  <c r="P88" i="8"/>
  <c r="P89" i="8"/>
  <c r="P90" i="8"/>
  <c r="G19" i="8"/>
  <c r="O19" i="8" s="1"/>
  <c r="G82" i="8"/>
  <c r="G81" i="8"/>
  <c r="G68" i="8"/>
  <c r="G67" i="8"/>
  <c r="G64" i="8"/>
  <c r="G60" i="8"/>
  <c r="G58" i="8"/>
  <c r="G57" i="8"/>
  <c r="G59" i="8"/>
  <c r="G56" i="8"/>
  <c r="G50" i="8"/>
  <c r="G48" i="8"/>
  <c r="G46" i="8"/>
  <c r="G5" i="8"/>
  <c r="G4" i="8"/>
  <c r="F21" i="8"/>
  <c r="E21" i="8"/>
  <c r="O21" i="8" s="1"/>
  <c r="E82" i="8"/>
  <c r="E81" i="8"/>
  <c r="O81" i="8" s="1"/>
  <c r="E68" i="8"/>
  <c r="E67" i="8"/>
  <c r="F65" i="8"/>
  <c r="E65" i="8"/>
  <c r="F64" i="8"/>
  <c r="E64" i="8"/>
  <c r="F60" i="8"/>
  <c r="F59" i="8"/>
  <c r="F58" i="8"/>
  <c r="F57" i="8"/>
  <c r="E60" i="8"/>
  <c r="E59" i="8"/>
  <c r="E58" i="8"/>
  <c r="E57" i="8"/>
  <c r="F56" i="8"/>
  <c r="E56" i="8"/>
  <c r="F50" i="8"/>
  <c r="E50" i="8"/>
  <c r="F49" i="8"/>
  <c r="E49" i="8"/>
  <c r="F46" i="8"/>
  <c r="E46" i="8"/>
  <c r="F23" i="8"/>
  <c r="E23" i="8"/>
  <c r="F7" i="8"/>
  <c r="E7" i="8"/>
  <c r="F6" i="8"/>
  <c r="E6" i="8"/>
  <c r="P83" i="8"/>
  <c r="P84" i="8"/>
  <c r="P85" i="8"/>
  <c r="L80" i="8"/>
  <c r="H80" i="8"/>
  <c r="O80" i="8" s="1"/>
  <c r="L79" i="8"/>
  <c r="H79" i="8"/>
  <c r="L68" i="8"/>
  <c r="H68" i="8"/>
  <c r="L67" i="8"/>
  <c r="H67" i="8"/>
  <c r="P66" i="8"/>
  <c r="L64" i="8"/>
  <c r="K64" i="8"/>
  <c r="H64" i="8"/>
  <c r="P63" i="8"/>
  <c r="L60" i="8"/>
  <c r="K60" i="8"/>
  <c r="H60" i="8"/>
  <c r="L59" i="8"/>
  <c r="K59" i="8"/>
  <c r="H59" i="8"/>
  <c r="L58" i="8"/>
  <c r="K58" i="8"/>
  <c r="H58" i="8"/>
  <c r="L57" i="8"/>
  <c r="K57" i="8"/>
  <c r="H57" i="8"/>
  <c r="L55" i="8"/>
  <c r="K55" i="8"/>
  <c r="H55" i="8"/>
  <c r="L50" i="8"/>
  <c r="K50" i="8"/>
  <c r="H50" i="8"/>
  <c r="K49" i="8"/>
  <c r="H49" i="8"/>
  <c r="L48" i="8"/>
  <c r="L45" i="8"/>
  <c r="K45" i="8"/>
  <c r="H45" i="8"/>
  <c r="P34" i="8"/>
  <c r="K20" i="8"/>
  <c r="H20" i="8"/>
  <c r="L18" i="8"/>
  <c r="O18" i="8" s="1"/>
  <c r="P9" i="8"/>
  <c r="K7" i="8"/>
  <c r="H7" i="8"/>
  <c r="K6" i="8"/>
  <c r="H6" i="8"/>
  <c r="L5" i="8"/>
  <c r="L4" i="8"/>
  <c r="P90" i="4"/>
  <c r="P89" i="4"/>
  <c r="P88" i="4"/>
  <c r="P87" i="4"/>
  <c r="P86" i="4"/>
  <c r="P85" i="4"/>
  <c r="P84" i="4"/>
  <c r="P83" i="4"/>
  <c r="O90" i="5"/>
  <c r="P90" i="5" s="1"/>
  <c r="O89" i="5"/>
  <c r="P89" i="5" s="1"/>
  <c r="O88" i="5"/>
  <c r="P88" i="5" s="1"/>
  <c r="O87" i="5"/>
  <c r="P87" i="5" s="1"/>
  <c r="O86" i="5"/>
  <c r="P86" i="5" s="1"/>
  <c r="O85" i="5"/>
  <c r="P85" i="5" s="1"/>
  <c r="O84" i="5"/>
  <c r="P84" i="5" s="1"/>
  <c r="O83" i="5"/>
  <c r="P83" i="5" s="1"/>
  <c r="O90" i="2"/>
  <c r="P90" i="2" s="1"/>
  <c r="O89" i="2"/>
  <c r="P89" i="2" s="1"/>
  <c r="O88" i="2"/>
  <c r="P88" i="2" s="1"/>
  <c r="O87" i="2"/>
  <c r="P87" i="2" s="1"/>
  <c r="O86" i="2"/>
  <c r="P86" i="2" s="1"/>
  <c r="O85" i="2"/>
  <c r="P85" i="2" s="1"/>
  <c r="O84" i="2"/>
  <c r="P84" i="2" s="1"/>
  <c r="O83" i="2"/>
  <c r="P83" i="2" s="1"/>
  <c r="O90" i="3"/>
  <c r="P90" i="3" s="1"/>
  <c r="O89" i="3"/>
  <c r="P89" i="3" s="1"/>
  <c r="O88" i="3"/>
  <c r="P88" i="3" s="1"/>
  <c r="O87" i="3"/>
  <c r="P87" i="3" s="1"/>
  <c r="O86" i="3"/>
  <c r="P86" i="3" s="1"/>
  <c r="O85" i="3"/>
  <c r="P85" i="3" s="1"/>
  <c r="O84" i="3"/>
  <c r="P84" i="3" s="1"/>
  <c r="O83" i="3"/>
  <c r="P83" i="3" s="1"/>
  <c r="P8" i="4"/>
  <c r="P9" i="4"/>
  <c r="P12" i="4"/>
  <c r="P21" i="4"/>
  <c r="P22" i="4"/>
  <c r="P23" i="4"/>
  <c r="P24" i="4"/>
  <c r="P25" i="4"/>
  <c r="P26" i="4"/>
  <c r="P27" i="4"/>
  <c r="P29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6" i="4"/>
  <c r="P47" i="4"/>
  <c r="P51" i="4"/>
  <c r="P52" i="4"/>
  <c r="P53" i="4"/>
  <c r="P61" i="4"/>
  <c r="P62" i="4"/>
  <c r="P63" i="4"/>
  <c r="P65" i="4"/>
  <c r="P66" i="4"/>
  <c r="P69" i="4"/>
  <c r="P70" i="4"/>
  <c r="P71" i="4"/>
  <c r="P72" i="4"/>
  <c r="P73" i="4"/>
  <c r="P74" i="4"/>
  <c r="P75" i="4"/>
  <c r="P76" i="4"/>
  <c r="O8" i="5"/>
  <c r="P8" i="5" s="1"/>
  <c r="O9" i="5"/>
  <c r="P9" i="5" s="1"/>
  <c r="O12" i="5"/>
  <c r="P12" i="5" s="1"/>
  <c r="O21" i="5"/>
  <c r="P21" i="5" s="1"/>
  <c r="O22" i="5"/>
  <c r="P22" i="5" s="1"/>
  <c r="O23" i="5"/>
  <c r="P23" i="5" s="1"/>
  <c r="O24" i="5"/>
  <c r="P24" i="5" s="1"/>
  <c r="O25" i="5"/>
  <c r="P25" i="5" s="1"/>
  <c r="O26" i="5"/>
  <c r="P26" i="5" s="1"/>
  <c r="O27" i="5"/>
  <c r="P27" i="5" s="1"/>
  <c r="O29" i="5"/>
  <c r="P29" i="5" s="1"/>
  <c r="O31" i="5"/>
  <c r="P31" i="5" s="1"/>
  <c r="O32" i="5"/>
  <c r="P32" i="5" s="1"/>
  <c r="O33" i="5"/>
  <c r="P33" i="5" s="1"/>
  <c r="O34" i="5"/>
  <c r="P34" i="5" s="1"/>
  <c r="O35" i="5"/>
  <c r="P35" i="5" s="1"/>
  <c r="O36" i="5"/>
  <c r="P36" i="5" s="1"/>
  <c r="O37" i="5"/>
  <c r="P37" i="5" s="1"/>
  <c r="O38" i="5"/>
  <c r="P38" i="5" s="1"/>
  <c r="O39" i="5"/>
  <c r="P39" i="5" s="1"/>
  <c r="O40" i="5"/>
  <c r="P40" i="5" s="1"/>
  <c r="O41" i="5"/>
  <c r="P41" i="5" s="1"/>
  <c r="O42" i="5"/>
  <c r="P42" i="5" s="1"/>
  <c r="O43" i="5"/>
  <c r="P43" i="5" s="1"/>
  <c r="O46" i="5"/>
  <c r="P46" i="5" s="1"/>
  <c r="O47" i="5"/>
  <c r="P47" i="5" s="1"/>
  <c r="O51" i="5"/>
  <c r="P51" i="5" s="1"/>
  <c r="O52" i="5"/>
  <c r="P52" i="5" s="1"/>
  <c r="O53" i="5"/>
  <c r="P53" i="5" s="1"/>
  <c r="O56" i="5"/>
  <c r="P56" i="5" s="1"/>
  <c r="O61" i="5"/>
  <c r="P61" i="5" s="1"/>
  <c r="O62" i="5"/>
  <c r="P62" i="5" s="1"/>
  <c r="O63" i="5"/>
  <c r="P63" i="5" s="1"/>
  <c r="O65" i="5"/>
  <c r="P65" i="5" s="1"/>
  <c r="O66" i="5"/>
  <c r="P66" i="5" s="1"/>
  <c r="O69" i="5"/>
  <c r="P69" i="5" s="1"/>
  <c r="O70" i="5"/>
  <c r="P70" i="5" s="1"/>
  <c r="O71" i="5"/>
  <c r="P71" i="5" s="1"/>
  <c r="O72" i="5"/>
  <c r="P72" i="5" s="1"/>
  <c r="O73" i="5"/>
  <c r="P73" i="5" s="1"/>
  <c r="O74" i="5"/>
  <c r="P74" i="5" s="1"/>
  <c r="O75" i="5"/>
  <c r="P75" i="5" s="1"/>
  <c r="O76" i="5"/>
  <c r="P76" i="5" s="1"/>
  <c r="O81" i="5"/>
  <c r="P81" i="5" s="1"/>
  <c r="O82" i="5"/>
  <c r="P82" i="5" s="1"/>
  <c r="O5" i="6"/>
  <c r="O6" i="6"/>
  <c r="P6" i="6" s="1"/>
  <c r="O7" i="6"/>
  <c r="P7" i="6" s="1"/>
  <c r="O10" i="6"/>
  <c r="P10" i="6" s="1"/>
  <c r="O11" i="6"/>
  <c r="P11" i="6" s="1"/>
  <c r="O12" i="6"/>
  <c r="P12" i="6" s="1"/>
  <c r="O18" i="6"/>
  <c r="P18" i="6" s="1"/>
  <c r="O20" i="6"/>
  <c r="P20" i="6" s="1"/>
  <c r="O21" i="6"/>
  <c r="P21" i="6" s="1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9" i="6"/>
  <c r="P29" i="6" s="1"/>
  <c r="O31" i="6"/>
  <c r="P31" i="6" s="1"/>
  <c r="O32" i="6"/>
  <c r="P32" i="6" s="1"/>
  <c r="O33" i="6"/>
  <c r="P33" i="6" s="1"/>
  <c r="O34" i="6"/>
  <c r="P34" i="6" s="1"/>
  <c r="O35" i="6"/>
  <c r="P35" i="6" s="1"/>
  <c r="O36" i="6"/>
  <c r="P36" i="6" s="1"/>
  <c r="O40" i="6"/>
  <c r="P40" i="6" s="1"/>
  <c r="O41" i="6"/>
  <c r="P41" i="6" s="1"/>
  <c r="O42" i="6"/>
  <c r="P42" i="6" s="1"/>
  <c r="O43" i="6"/>
  <c r="P43" i="6" s="1"/>
  <c r="O48" i="6"/>
  <c r="P48" i="6" s="1"/>
  <c r="O51" i="6"/>
  <c r="P51" i="6" s="1"/>
  <c r="O52" i="6"/>
  <c r="P52" i="6" s="1"/>
  <c r="O53" i="6"/>
  <c r="P53" i="6" s="1"/>
  <c r="O61" i="6"/>
  <c r="O62" i="6"/>
  <c r="P62" i="6" s="1"/>
  <c r="O63" i="6"/>
  <c r="P63" i="6" s="1"/>
  <c r="O65" i="6"/>
  <c r="P65" i="6" s="1"/>
  <c r="O66" i="6"/>
  <c r="P66" i="6" s="1"/>
  <c r="O68" i="6"/>
  <c r="P68" i="6" s="1"/>
  <c r="O69" i="6"/>
  <c r="P69" i="6" s="1"/>
  <c r="O70" i="6"/>
  <c r="P70" i="6" s="1"/>
  <c r="O71" i="6"/>
  <c r="P71" i="6" s="1"/>
  <c r="O72" i="6"/>
  <c r="P72" i="6" s="1"/>
  <c r="O73" i="6"/>
  <c r="O74" i="6"/>
  <c r="O75" i="6"/>
  <c r="P75" i="6" s="1"/>
  <c r="O76" i="6"/>
  <c r="P76" i="6" s="1"/>
  <c r="O8" i="2"/>
  <c r="P8" i="2" s="1"/>
  <c r="O9" i="2"/>
  <c r="P9" i="2" s="1"/>
  <c r="O12" i="2"/>
  <c r="P12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9" i="2"/>
  <c r="P29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6" i="2"/>
  <c r="P46" i="2" s="1"/>
  <c r="O47" i="2"/>
  <c r="P47" i="2" s="1"/>
  <c r="O51" i="2"/>
  <c r="P51" i="2" s="1"/>
  <c r="O52" i="2"/>
  <c r="P52" i="2" s="1"/>
  <c r="O53" i="2"/>
  <c r="P53" i="2" s="1"/>
  <c r="O56" i="2"/>
  <c r="P56" i="2" s="1"/>
  <c r="O61" i="2"/>
  <c r="P61" i="2" s="1"/>
  <c r="O62" i="2"/>
  <c r="P62" i="2" s="1"/>
  <c r="O63" i="2"/>
  <c r="P63" i="2" s="1"/>
  <c r="O65" i="2"/>
  <c r="P65" i="2" s="1"/>
  <c r="O66" i="2"/>
  <c r="P66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8" i="3"/>
  <c r="P8" i="3" s="1"/>
  <c r="O9" i="3"/>
  <c r="P9" i="3" s="1"/>
  <c r="O12" i="3"/>
  <c r="O21" i="3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9" i="3"/>
  <c r="P29" i="3" s="1"/>
  <c r="O31" i="3"/>
  <c r="P31" i="3" s="1"/>
  <c r="O32" i="3"/>
  <c r="P32" i="3" s="1"/>
  <c r="O37" i="3"/>
  <c r="P37" i="3" s="1"/>
  <c r="O38" i="3"/>
  <c r="P38" i="3" s="1"/>
  <c r="O39" i="3"/>
  <c r="P39" i="3" s="1"/>
  <c r="O44" i="3"/>
  <c r="P44" i="3" s="1"/>
  <c r="O45" i="3"/>
  <c r="P45" i="3" s="1"/>
  <c r="O46" i="3"/>
  <c r="P46" i="3" s="1"/>
  <c r="O47" i="3"/>
  <c r="P47" i="3" s="1"/>
  <c r="O51" i="3"/>
  <c r="P51" i="3" s="1"/>
  <c r="O52" i="3"/>
  <c r="P52" i="3" s="1"/>
  <c r="O53" i="3"/>
  <c r="P53" i="3" s="1"/>
  <c r="O61" i="3"/>
  <c r="P61" i="3" s="1"/>
  <c r="O62" i="3"/>
  <c r="O63" i="3"/>
  <c r="O65" i="3"/>
  <c r="O66" i="3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P83" i="1"/>
  <c r="P84" i="1"/>
  <c r="F83" i="7"/>
  <c r="F87" i="7"/>
  <c r="F89" i="7"/>
  <c r="P65" i="1"/>
  <c r="F21" i="7" l="1"/>
  <c r="F85" i="7"/>
  <c r="O11" i="12"/>
  <c r="G19" i="7"/>
  <c r="F66" i="7"/>
  <c r="O63" i="11"/>
  <c r="F65" i="7"/>
  <c r="F90" i="7"/>
  <c r="G11" i="7"/>
  <c r="O78" i="13"/>
  <c r="O4" i="13"/>
  <c r="O5" i="13"/>
  <c r="P5" i="13" s="1"/>
  <c r="O11" i="13"/>
  <c r="O79" i="13"/>
  <c r="O45" i="13"/>
  <c r="O80" i="13"/>
  <c r="O71" i="12"/>
  <c r="F71" i="7" s="1"/>
  <c r="O54" i="12"/>
  <c r="P54" i="12" s="1"/>
  <c r="O48" i="12"/>
  <c r="P48" i="12" s="1"/>
  <c r="O79" i="12"/>
  <c r="O80" i="12"/>
  <c r="O45" i="12"/>
  <c r="O74" i="11"/>
  <c r="F74" i="7" s="1"/>
  <c r="O20" i="8"/>
  <c r="O23" i="8"/>
  <c r="G23" i="7" s="1"/>
  <c r="P92" i="22"/>
  <c r="O45" i="8"/>
  <c r="O49" i="8"/>
  <c r="O65" i="8"/>
  <c r="G65" i="7" s="1"/>
  <c r="P27" i="9"/>
  <c r="G27" i="7"/>
  <c r="P73" i="9"/>
  <c r="G73" i="7"/>
  <c r="P83" i="9"/>
  <c r="G83" i="7"/>
  <c r="I83" i="7" s="1"/>
  <c r="O45" i="11"/>
  <c r="P45" i="11" s="1"/>
  <c r="O55" i="11"/>
  <c r="P55" i="11" s="1"/>
  <c r="O78" i="12"/>
  <c r="P78" i="12" s="1"/>
  <c r="O72" i="12"/>
  <c r="P8" i="1"/>
  <c r="P29" i="9"/>
  <c r="G29" i="7"/>
  <c r="P74" i="9"/>
  <c r="G74" i="7"/>
  <c r="P84" i="9"/>
  <c r="G84" i="7"/>
  <c r="P31" i="9"/>
  <c r="G31" i="7"/>
  <c r="P51" i="9"/>
  <c r="G51" i="7"/>
  <c r="P61" i="9"/>
  <c r="G61" i="7"/>
  <c r="P75" i="9"/>
  <c r="G75" i="7"/>
  <c r="P85" i="9"/>
  <c r="G85" i="7"/>
  <c r="H85" i="7" s="1"/>
  <c r="O44" i="11"/>
  <c r="P44" i="11" s="1"/>
  <c r="O54" i="11"/>
  <c r="P54" i="11" s="1"/>
  <c r="O5" i="12"/>
  <c r="P5" i="12" s="1"/>
  <c r="P32" i="9"/>
  <c r="G32" i="7"/>
  <c r="P52" i="9"/>
  <c r="G52" i="7"/>
  <c r="P62" i="9"/>
  <c r="G62" i="7"/>
  <c r="P76" i="9"/>
  <c r="G76" i="7"/>
  <c r="P86" i="9"/>
  <c r="G86" i="7"/>
  <c r="O60" i="12"/>
  <c r="P60" i="12" s="1"/>
  <c r="O54" i="13"/>
  <c r="O60" i="13"/>
  <c r="O7" i="12"/>
  <c r="P7" i="12" s="1"/>
  <c r="O18" i="12"/>
  <c r="P18" i="12" s="1"/>
  <c r="P33" i="9"/>
  <c r="G33" i="7"/>
  <c r="P53" i="9"/>
  <c r="G53" i="7"/>
  <c r="P63" i="9"/>
  <c r="G63" i="7"/>
  <c r="P87" i="9"/>
  <c r="G87" i="7"/>
  <c r="I87" i="7" s="1"/>
  <c r="P10" i="9"/>
  <c r="G10" i="7"/>
  <c r="O49" i="11"/>
  <c r="P49" i="11" s="1"/>
  <c r="O57" i="11"/>
  <c r="P57" i="11" s="1"/>
  <c r="O64" i="11"/>
  <c r="P64" i="11" s="1"/>
  <c r="O69" i="13"/>
  <c r="F69" i="7" s="1"/>
  <c r="O62" i="11"/>
  <c r="P32" i="1"/>
  <c r="F32" i="7"/>
  <c r="F88" i="7"/>
  <c r="O82" i="8"/>
  <c r="P82" i="8" s="1"/>
  <c r="P34" i="9"/>
  <c r="G34" i="7"/>
  <c r="P88" i="9"/>
  <c r="G88" i="7"/>
  <c r="O58" i="11"/>
  <c r="P58" i="11" s="1"/>
  <c r="O55" i="12"/>
  <c r="P55" i="12" s="1"/>
  <c r="O55" i="13"/>
  <c r="O44" i="13"/>
  <c r="P44" i="13" s="1"/>
  <c r="O70" i="13"/>
  <c r="F70" i="7" s="1"/>
  <c r="P9" i="1"/>
  <c r="P35" i="9"/>
  <c r="G35" i="7"/>
  <c r="P89" i="9"/>
  <c r="G89" i="7"/>
  <c r="I89" i="7" s="1"/>
  <c r="O59" i="11"/>
  <c r="P59" i="11" s="1"/>
  <c r="P29" i="1"/>
  <c r="F29" i="7"/>
  <c r="F86" i="7"/>
  <c r="P8" i="9"/>
  <c r="P36" i="9"/>
  <c r="G36" i="7"/>
  <c r="P90" i="9"/>
  <c r="G90" i="7"/>
  <c r="H90" i="7" s="1"/>
  <c r="O60" i="11"/>
  <c r="P60" i="11" s="1"/>
  <c r="O57" i="12"/>
  <c r="P57" i="12" s="1"/>
  <c r="O63" i="12"/>
  <c r="P63" i="12" s="1"/>
  <c r="O57" i="13"/>
  <c r="O63" i="13"/>
  <c r="O7" i="13"/>
  <c r="P9" i="9"/>
  <c r="P37" i="9"/>
  <c r="G37" i="7"/>
  <c r="O6" i="11"/>
  <c r="P6" i="11" s="1"/>
  <c r="O53" i="11"/>
  <c r="F53" i="7" s="1"/>
  <c r="O79" i="11"/>
  <c r="P79" i="11" s="1"/>
  <c r="O18" i="11"/>
  <c r="P18" i="11" s="1"/>
  <c r="P92" i="21"/>
  <c r="P12" i="9"/>
  <c r="G12" i="7"/>
  <c r="P38" i="9"/>
  <c r="G38" i="7"/>
  <c r="O80" i="11"/>
  <c r="P80" i="11" s="1"/>
  <c r="P31" i="1"/>
  <c r="F31" i="7"/>
  <c r="P27" i="1"/>
  <c r="F27" i="7"/>
  <c r="P39" i="9"/>
  <c r="G39" i="7"/>
  <c r="O44" i="12"/>
  <c r="P44" i="12" s="1"/>
  <c r="P45" i="1"/>
  <c r="F24" i="7"/>
  <c r="P89" i="1"/>
  <c r="P22" i="9"/>
  <c r="G22" i="7"/>
  <c r="P40" i="9"/>
  <c r="G40" i="7"/>
  <c r="O80" i="9"/>
  <c r="P80" i="9" s="1"/>
  <c r="O73" i="11"/>
  <c r="F73" i="7" s="1"/>
  <c r="O58" i="12"/>
  <c r="P58" i="12" s="1"/>
  <c r="O64" i="12"/>
  <c r="P64" i="12" s="1"/>
  <c r="O58" i="13"/>
  <c r="O64" i="13"/>
  <c r="O48" i="13"/>
  <c r="P48" i="13" s="1"/>
  <c r="F84" i="7"/>
  <c r="P23" i="1"/>
  <c r="F23" i="7"/>
  <c r="P88" i="1"/>
  <c r="G18" i="7"/>
  <c r="P41" i="9"/>
  <c r="G41" i="7"/>
  <c r="P69" i="9"/>
  <c r="G69" i="7"/>
  <c r="O20" i="11"/>
  <c r="P20" i="11" s="1"/>
  <c r="O52" i="12"/>
  <c r="F52" i="7" s="1"/>
  <c r="F26" i="7"/>
  <c r="P61" i="1"/>
  <c r="F61" i="7"/>
  <c r="F22" i="7"/>
  <c r="P87" i="1"/>
  <c r="P24" i="9"/>
  <c r="G24" i="7"/>
  <c r="P42" i="9"/>
  <c r="G42" i="7"/>
  <c r="P70" i="9"/>
  <c r="G70" i="7"/>
  <c r="O77" i="11"/>
  <c r="P77" i="11" s="1"/>
  <c r="O5" i="11"/>
  <c r="P5" i="11" s="1"/>
  <c r="F72" i="7"/>
  <c r="P62" i="1"/>
  <c r="F76" i="7"/>
  <c r="P47" i="1"/>
  <c r="P86" i="1"/>
  <c r="P25" i="9"/>
  <c r="G25" i="7"/>
  <c r="P43" i="9"/>
  <c r="G43" i="7"/>
  <c r="P71" i="9"/>
  <c r="G71" i="7"/>
  <c r="I71" i="7" s="1"/>
  <c r="O82" i="9"/>
  <c r="P82" i="9" s="1"/>
  <c r="O11" i="11"/>
  <c r="O78" i="11"/>
  <c r="P78" i="11" s="1"/>
  <c r="O48" i="11"/>
  <c r="P48" i="11" s="1"/>
  <c r="O62" i="12"/>
  <c r="P62" i="12" s="1"/>
  <c r="P63" i="1"/>
  <c r="P25" i="1"/>
  <c r="F25" i="7"/>
  <c r="F75" i="7"/>
  <c r="P46" i="1"/>
  <c r="F12" i="7"/>
  <c r="P85" i="1"/>
  <c r="P26" i="9"/>
  <c r="G26" i="7"/>
  <c r="P47" i="9"/>
  <c r="P66" i="9"/>
  <c r="G66" i="7"/>
  <c r="H66" i="7" s="1"/>
  <c r="P72" i="9"/>
  <c r="G72" i="7"/>
  <c r="O49" i="12"/>
  <c r="O59" i="12"/>
  <c r="P59" i="12" s="1"/>
  <c r="O77" i="12"/>
  <c r="P77" i="12" s="1"/>
  <c r="O49" i="13"/>
  <c r="O59" i="13"/>
  <c r="P59" i="13" s="1"/>
  <c r="O77" i="13"/>
  <c r="P77" i="13" s="1"/>
  <c r="O51" i="13"/>
  <c r="P51" i="13" s="1"/>
  <c r="O55" i="8"/>
  <c r="O5" i="8"/>
  <c r="O48" i="8"/>
  <c r="O60" i="8"/>
  <c r="O4" i="11"/>
  <c r="P4" i="11" s="1"/>
  <c r="P79" i="12"/>
  <c r="P80" i="12"/>
  <c r="P11" i="13"/>
  <c r="P78" i="13"/>
  <c r="P54" i="13"/>
  <c r="P18" i="13"/>
  <c r="P62" i="13"/>
  <c r="P4" i="13"/>
  <c r="O7" i="8"/>
  <c r="O79" i="8"/>
  <c r="O50" i="8"/>
  <c r="O67" i="8"/>
  <c r="O68" i="8"/>
  <c r="O46" i="8"/>
  <c r="O58" i="8"/>
  <c r="O64" i="8"/>
  <c r="O56" i="8"/>
  <c r="O57" i="8"/>
  <c r="O6" i="8"/>
  <c r="O59" i="8"/>
  <c r="O4" i="8"/>
  <c r="P92" i="17"/>
  <c r="P92" i="18"/>
  <c r="P92" i="19"/>
  <c r="P92" i="20"/>
  <c r="O56" i="9"/>
  <c r="P56" i="9" s="1"/>
  <c r="O21" i="9"/>
  <c r="P21" i="9" s="1"/>
  <c r="O46" i="9"/>
  <c r="P46" i="9" s="1"/>
  <c r="P76" i="1"/>
  <c r="O81" i="9"/>
  <c r="P81" i="9" s="1"/>
  <c r="P63" i="11"/>
  <c r="P90" i="1"/>
  <c r="O48" i="9"/>
  <c r="P48" i="9" s="1"/>
  <c r="O67" i="9"/>
  <c r="P67" i="9" s="1"/>
  <c r="P11" i="11"/>
  <c r="P92" i="16"/>
  <c r="P92" i="15"/>
  <c r="P44" i="1"/>
  <c r="P26" i="1"/>
  <c r="P75" i="1"/>
  <c r="P74" i="1"/>
  <c r="P24" i="1"/>
  <c r="P22" i="1"/>
  <c r="P72" i="1"/>
  <c r="P39" i="1"/>
  <c r="P69" i="1"/>
  <c r="P53" i="1"/>
  <c r="P37" i="1"/>
  <c r="P38" i="1"/>
  <c r="P52" i="1"/>
  <c r="P71" i="1"/>
  <c r="P51" i="1"/>
  <c r="P12" i="1"/>
  <c r="P73" i="1"/>
  <c r="P20" i="1"/>
  <c r="P70" i="1"/>
  <c r="P66" i="1"/>
  <c r="P92" i="14"/>
  <c r="P20" i="12"/>
  <c r="P45" i="12"/>
  <c r="P32" i="10"/>
  <c r="P39" i="10"/>
  <c r="P38" i="10"/>
  <c r="O82" i="10"/>
  <c r="P82" i="10" s="1"/>
  <c r="P70" i="10"/>
  <c r="P62" i="10"/>
  <c r="O58" i="10"/>
  <c r="P58" i="10" s="1"/>
  <c r="O8" i="10"/>
  <c r="P8" i="10" s="1"/>
  <c r="O67" i="10"/>
  <c r="P67" i="10" s="1"/>
  <c r="O59" i="10"/>
  <c r="P59" i="10" s="1"/>
  <c r="O9" i="10"/>
  <c r="P9" i="10" s="1"/>
  <c r="O47" i="10"/>
  <c r="P47" i="10" s="1"/>
  <c r="O57" i="10"/>
  <c r="P57" i="10" s="1"/>
  <c r="O64" i="10"/>
  <c r="P64" i="10" s="1"/>
  <c r="O49" i="10"/>
  <c r="P49" i="10" s="1"/>
  <c r="O50" i="10"/>
  <c r="P50" i="10" s="1"/>
  <c r="O5" i="9"/>
  <c r="P5" i="9" s="1"/>
  <c r="O79" i="9"/>
  <c r="P79" i="9" s="1"/>
  <c r="O45" i="9"/>
  <c r="P45" i="9" s="1"/>
  <c r="O68" i="9"/>
  <c r="P68" i="9" s="1"/>
  <c r="O77" i="9"/>
  <c r="O78" i="9"/>
  <c r="O54" i="9"/>
  <c r="O58" i="9"/>
  <c r="P58" i="9" s="1"/>
  <c r="O60" i="9"/>
  <c r="P60" i="9" s="1"/>
  <c r="P11" i="9"/>
  <c r="O44" i="9"/>
  <c r="G44" i="7" s="1"/>
  <c r="O20" i="9"/>
  <c r="P20" i="9" s="1"/>
  <c r="O55" i="9"/>
  <c r="P55" i="9" s="1"/>
  <c r="O4" i="9"/>
  <c r="P4" i="9" s="1"/>
  <c r="O50" i="9"/>
  <c r="P50" i="9" s="1"/>
  <c r="O59" i="9"/>
  <c r="P59" i="9" s="1"/>
  <c r="O64" i="9"/>
  <c r="P64" i="9" s="1"/>
  <c r="O6" i="9"/>
  <c r="P6" i="9" s="1"/>
  <c r="O7" i="9"/>
  <c r="P7" i="9" s="1"/>
  <c r="O57" i="9"/>
  <c r="P57" i="9" s="1"/>
  <c r="O49" i="9"/>
  <c r="P49" i="9" s="1"/>
  <c r="P18" i="8"/>
  <c r="P80" i="8"/>
  <c r="P21" i="8"/>
  <c r="P23" i="8"/>
  <c r="P81" i="8"/>
  <c r="P49" i="12"/>
  <c r="P11" i="12"/>
  <c r="P61" i="6"/>
  <c r="P21" i="3"/>
  <c r="P12" i="3"/>
  <c r="P66" i="3"/>
  <c r="P65" i="3"/>
  <c r="P62" i="3"/>
  <c r="P63" i="3"/>
  <c r="P5" i="6"/>
  <c r="P74" i="6"/>
  <c r="P73" i="6"/>
  <c r="J57" i="2"/>
  <c r="I57" i="2"/>
  <c r="H57" i="2"/>
  <c r="E57" i="2"/>
  <c r="G57" i="2"/>
  <c r="F57" i="2"/>
  <c r="F56" i="3"/>
  <c r="E56" i="3"/>
  <c r="E82" i="3"/>
  <c r="O82" i="3" s="1"/>
  <c r="E81" i="3"/>
  <c r="F47" i="6"/>
  <c r="G47" i="6"/>
  <c r="O44" i="6"/>
  <c r="P44" i="6" s="1"/>
  <c r="O45" i="6"/>
  <c r="O46" i="6"/>
  <c r="P46" i="6" s="1"/>
  <c r="E47" i="6"/>
  <c r="F79" i="6"/>
  <c r="O79" i="6" s="1"/>
  <c r="F80" i="6"/>
  <c r="O80" i="6" s="1"/>
  <c r="E82" i="6"/>
  <c r="E81" i="6"/>
  <c r="O81" i="6" s="1"/>
  <c r="P81" i="6" s="1"/>
  <c r="G82" i="6"/>
  <c r="O56" i="6"/>
  <c r="P56" i="6" s="1"/>
  <c r="O54" i="6"/>
  <c r="P54" i="6" s="1"/>
  <c r="O37" i="6"/>
  <c r="F37" i="7" s="1"/>
  <c r="O38" i="6"/>
  <c r="F38" i="7" s="1"/>
  <c r="O39" i="6"/>
  <c r="P39" i="6" s="1"/>
  <c r="F9" i="6"/>
  <c r="G9" i="6"/>
  <c r="F8" i="6"/>
  <c r="G8" i="6"/>
  <c r="E9" i="6"/>
  <c r="E8" i="6"/>
  <c r="F49" i="6"/>
  <c r="O55" i="6"/>
  <c r="G78" i="6"/>
  <c r="O78" i="6" s="1"/>
  <c r="P78" i="6" s="1"/>
  <c r="G77" i="6"/>
  <c r="O77" i="6" s="1"/>
  <c r="P77" i="6" s="1"/>
  <c r="G49" i="6"/>
  <c r="E49" i="6"/>
  <c r="O4" i="6"/>
  <c r="J18" i="5"/>
  <c r="O18" i="5" s="1"/>
  <c r="P18" i="5" s="1"/>
  <c r="I10" i="5"/>
  <c r="O10" i="5" s="1"/>
  <c r="P10" i="5" s="1"/>
  <c r="H11" i="5"/>
  <c r="G11" i="5"/>
  <c r="F20" i="5"/>
  <c r="J45" i="5"/>
  <c r="I44" i="5"/>
  <c r="H44" i="5"/>
  <c r="G44" i="5"/>
  <c r="F45" i="5"/>
  <c r="E45" i="5"/>
  <c r="O45" i="5" s="1"/>
  <c r="P45" i="5" s="1"/>
  <c r="E20" i="5"/>
  <c r="O20" i="5" s="1"/>
  <c r="P20" i="5" s="1"/>
  <c r="J80" i="5"/>
  <c r="E80" i="5"/>
  <c r="O80" i="5" s="1"/>
  <c r="P80" i="5" s="1"/>
  <c r="J79" i="5"/>
  <c r="E79" i="5"/>
  <c r="I78" i="5"/>
  <c r="G78" i="5"/>
  <c r="I77" i="5"/>
  <c r="G77" i="5"/>
  <c r="J68" i="5"/>
  <c r="I68" i="5"/>
  <c r="G68" i="5"/>
  <c r="E68" i="5"/>
  <c r="J67" i="5"/>
  <c r="I67" i="5"/>
  <c r="G67" i="5"/>
  <c r="E67" i="5"/>
  <c r="O67" i="5" s="1"/>
  <c r="P67" i="5" s="1"/>
  <c r="J64" i="5"/>
  <c r="I64" i="5"/>
  <c r="H64" i="5"/>
  <c r="G64" i="5"/>
  <c r="F64" i="5"/>
  <c r="E64" i="5"/>
  <c r="J60" i="5"/>
  <c r="I60" i="5"/>
  <c r="H60" i="5"/>
  <c r="G60" i="5"/>
  <c r="F60" i="5"/>
  <c r="E60" i="5"/>
  <c r="J59" i="5"/>
  <c r="I59" i="5"/>
  <c r="H59" i="5"/>
  <c r="G59" i="5"/>
  <c r="F59" i="5"/>
  <c r="E59" i="5"/>
  <c r="J58" i="5"/>
  <c r="I58" i="5"/>
  <c r="H58" i="5"/>
  <c r="G58" i="5"/>
  <c r="F58" i="5"/>
  <c r="E58" i="5"/>
  <c r="J57" i="5"/>
  <c r="I57" i="5"/>
  <c r="H57" i="5"/>
  <c r="G57" i="5"/>
  <c r="F57" i="5"/>
  <c r="E57" i="5"/>
  <c r="J55" i="5"/>
  <c r="F55" i="5"/>
  <c r="E55" i="5"/>
  <c r="I54" i="5"/>
  <c r="H54" i="5"/>
  <c r="G54" i="5"/>
  <c r="J50" i="5"/>
  <c r="I50" i="5"/>
  <c r="H50" i="5"/>
  <c r="G50" i="5"/>
  <c r="F50" i="5"/>
  <c r="E50" i="5"/>
  <c r="H49" i="5"/>
  <c r="G49" i="5"/>
  <c r="F49" i="5"/>
  <c r="E49" i="5"/>
  <c r="J48" i="5"/>
  <c r="I48" i="5"/>
  <c r="O48" i="5" s="1"/>
  <c r="P48" i="5" s="1"/>
  <c r="H7" i="5"/>
  <c r="G7" i="5"/>
  <c r="F7" i="5"/>
  <c r="E7" i="5"/>
  <c r="H6" i="5"/>
  <c r="G6" i="5"/>
  <c r="F6" i="5"/>
  <c r="E6" i="5"/>
  <c r="J5" i="5"/>
  <c r="I5" i="5"/>
  <c r="O5" i="5" s="1"/>
  <c r="P5" i="5" s="1"/>
  <c r="J4" i="5"/>
  <c r="I4" i="5"/>
  <c r="J45" i="2"/>
  <c r="J45" i="4"/>
  <c r="J18" i="4"/>
  <c r="O18" i="4" s="1"/>
  <c r="P18" i="4" s="1"/>
  <c r="I10" i="4"/>
  <c r="O10" i="4" s="1"/>
  <c r="P10" i="4" s="1"/>
  <c r="H11" i="4"/>
  <c r="G11" i="4"/>
  <c r="I44" i="4"/>
  <c r="H44" i="4"/>
  <c r="G44" i="4"/>
  <c r="F45" i="4"/>
  <c r="E45" i="4"/>
  <c r="F20" i="4"/>
  <c r="E20" i="4"/>
  <c r="J80" i="4"/>
  <c r="E80" i="4"/>
  <c r="J79" i="4"/>
  <c r="E79" i="4"/>
  <c r="I78" i="4"/>
  <c r="G78" i="4"/>
  <c r="O78" i="4" s="1"/>
  <c r="P78" i="4" s="1"/>
  <c r="I77" i="4"/>
  <c r="G77" i="4"/>
  <c r="J68" i="4"/>
  <c r="I68" i="4"/>
  <c r="G68" i="4"/>
  <c r="E68" i="4"/>
  <c r="J67" i="4"/>
  <c r="I67" i="4"/>
  <c r="G67" i="4"/>
  <c r="E67" i="4"/>
  <c r="J64" i="4"/>
  <c r="I64" i="4"/>
  <c r="H64" i="4"/>
  <c r="G64" i="4"/>
  <c r="F64" i="4"/>
  <c r="E64" i="4"/>
  <c r="J60" i="4"/>
  <c r="I60" i="4"/>
  <c r="H60" i="4"/>
  <c r="G60" i="4"/>
  <c r="F60" i="4"/>
  <c r="E60" i="4"/>
  <c r="J59" i="4"/>
  <c r="I59" i="4"/>
  <c r="H59" i="4"/>
  <c r="G59" i="4"/>
  <c r="F59" i="4"/>
  <c r="E59" i="4"/>
  <c r="J58" i="4"/>
  <c r="I58" i="4"/>
  <c r="H58" i="4"/>
  <c r="G58" i="4"/>
  <c r="F58" i="4"/>
  <c r="E58" i="4"/>
  <c r="J57" i="4"/>
  <c r="I57" i="4"/>
  <c r="H57" i="4"/>
  <c r="G57" i="4"/>
  <c r="F57" i="4"/>
  <c r="E57" i="4"/>
  <c r="J55" i="4"/>
  <c r="F55" i="4"/>
  <c r="E55" i="4"/>
  <c r="I54" i="4"/>
  <c r="H54" i="4"/>
  <c r="G54" i="4"/>
  <c r="J50" i="4"/>
  <c r="I50" i="4"/>
  <c r="H50" i="4"/>
  <c r="G50" i="4"/>
  <c r="F50" i="4"/>
  <c r="E50" i="4"/>
  <c r="H49" i="4"/>
  <c r="G49" i="4"/>
  <c r="F49" i="4"/>
  <c r="E49" i="4"/>
  <c r="J48" i="4"/>
  <c r="I48" i="4"/>
  <c r="H7" i="4"/>
  <c r="G7" i="4"/>
  <c r="F7" i="4"/>
  <c r="E7" i="4"/>
  <c r="H6" i="4"/>
  <c r="G6" i="4"/>
  <c r="F6" i="4"/>
  <c r="E6" i="4"/>
  <c r="J5" i="4"/>
  <c r="I5" i="4"/>
  <c r="J4" i="4"/>
  <c r="I4" i="4"/>
  <c r="J42" i="3"/>
  <c r="O42" i="3" s="1"/>
  <c r="P42" i="3" s="1"/>
  <c r="J35" i="3"/>
  <c r="O35" i="3" s="1"/>
  <c r="P35" i="3" s="1"/>
  <c r="I41" i="3"/>
  <c r="O41" i="3" s="1"/>
  <c r="P41" i="3" s="1"/>
  <c r="I33" i="3"/>
  <c r="O33" i="3" s="1"/>
  <c r="P33" i="3" s="1"/>
  <c r="H34" i="3"/>
  <c r="H40" i="3"/>
  <c r="G40" i="3"/>
  <c r="G34" i="3"/>
  <c r="F43" i="3"/>
  <c r="E43" i="3"/>
  <c r="O43" i="3" s="1"/>
  <c r="P43" i="3" s="1"/>
  <c r="F36" i="3"/>
  <c r="E36" i="3"/>
  <c r="J80" i="3"/>
  <c r="E80" i="3"/>
  <c r="J79" i="3"/>
  <c r="E79" i="3"/>
  <c r="I78" i="3"/>
  <c r="G78" i="3"/>
  <c r="I77" i="3"/>
  <c r="G77" i="3"/>
  <c r="J68" i="3"/>
  <c r="I68" i="3"/>
  <c r="G68" i="3"/>
  <c r="E68" i="3"/>
  <c r="J67" i="3"/>
  <c r="I67" i="3"/>
  <c r="G67" i="3"/>
  <c r="E67" i="3"/>
  <c r="J64" i="3"/>
  <c r="I64" i="3"/>
  <c r="H64" i="3"/>
  <c r="G64" i="3"/>
  <c r="F64" i="3"/>
  <c r="E64" i="3"/>
  <c r="J60" i="3"/>
  <c r="I60" i="3"/>
  <c r="H60" i="3"/>
  <c r="G60" i="3"/>
  <c r="F60" i="3"/>
  <c r="E60" i="3"/>
  <c r="J59" i="3"/>
  <c r="I59" i="3"/>
  <c r="H59" i="3"/>
  <c r="G59" i="3"/>
  <c r="F59" i="3"/>
  <c r="E59" i="3"/>
  <c r="J58" i="3"/>
  <c r="I58" i="3"/>
  <c r="H58" i="3"/>
  <c r="G58" i="3"/>
  <c r="F58" i="3"/>
  <c r="E58" i="3"/>
  <c r="J57" i="3"/>
  <c r="I57" i="3"/>
  <c r="H57" i="3"/>
  <c r="G57" i="3"/>
  <c r="F57" i="3"/>
  <c r="E57" i="3"/>
  <c r="O57" i="3" s="1"/>
  <c r="P57" i="3" s="1"/>
  <c r="J55" i="3"/>
  <c r="F55" i="3"/>
  <c r="E55" i="3"/>
  <c r="I54" i="3"/>
  <c r="H54" i="3"/>
  <c r="G54" i="3"/>
  <c r="J50" i="3"/>
  <c r="I50" i="3"/>
  <c r="H50" i="3"/>
  <c r="G50" i="3"/>
  <c r="F50" i="3"/>
  <c r="E50" i="3"/>
  <c r="H49" i="3"/>
  <c r="G49" i="3"/>
  <c r="F49" i="3"/>
  <c r="E49" i="3"/>
  <c r="O49" i="3" s="1"/>
  <c r="P49" i="3" s="1"/>
  <c r="J48" i="3"/>
  <c r="I48" i="3"/>
  <c r="F20" i="3"/>
  <c r="E20" i="3"/>
  <c r="J18" i="3"/>
  <c r="O18" i="3" s="1"/>
  <c r="H11" i="3"/>
  <c r="G11" i="3"/>
  <c r="I10" i="3"/>
  <c r="O10" i="3" s="1"/>
  <c r="P10" i="3" s="1"/>
  <c r="H7" i="3"/>
  <c r="G7" i="3"/>
  <c r="F7" i="3"/>
  <c r="E7" i="3"/>
  <c r="H6" i="3"/>
  <c r="G6" i="3"/>
  <c r="F6" i="3"/>
  <c r="E6" i="3"/>
  <c r="O6" i="3" s="1"/>
  <c r="P6" i="3" s="1"/>
  <c r="J5" i="3"/>
  <c r="J81" i="3" s="1"/>
  <c r="I5" i="3"/>
  <c r="J4" i="3"/>
  <c r="J56" i="3" s="1"/>
  <c r="I4" i="3"/>
  <c r="J18" i="2"/>
  <c r="O18" i="2" s="1"/>
  <c r="P18" i="2" s="1"/>
  <c r="I44" i="2"/>
  <c r="I10" i="2"/>
  <c r="O10" i="2" s="1"/>
  <c r="P10" i="2" s="1"/>
  <c r="H44" i="2"/>
  <c r="G44" i="2"/>
  <c r="H11" i="2"/>
  <c r="G11" i="2"/>
  <c r="O11" i="2" s="1"/>
  <c r="P11" i="2" s="1"/>
  <c r="F45" i="2"/>
  <c r="F20" i="2"/>
  <c r="E45" i="2"/>
  <c r="E20" i="2"/>
  <c r="O20" i="2" s="1"/>
  <c r="P20" i="2" s="1"/>
  <c r="J80" i="2"/>
  <c r="E80" i="2"/>
  <c r="O80" i="2" s="1"/>
  <c r="P80" i="2" s="1"/>
  <c r="J79" i="2"/>
  <c r="E79" i="2"/>
  <c r="O79" i="2" s="1"/>
  <c r="P79" i="2" s="1"/>
  <c r="I78" i="2"/>
  <c r="G78" i="2"/>
  <c r="I77" i="2"/>
  <c r="G77" i="2"/>
  <c r="J68" i="2"/>
  <c r="I68" i="2"/>
  <c r="G68" i="2"/>
  <c r="E68" i="2"/>
  <c r="J67" i="2"/>
  <c r="I67" i="2"/>
  <c r="G67" i="2"/>
  <c r="E67" i="2"/>
  <c r="O67" i="2" s="1"/>
  <c r="P67" i="2" s="1"/>
  <c r="J64" i="2"/>
  <c r="I64" i="2"/>
  <c r="H64" i="2"/>
  <c r="G64" i="2"/>
  <c r="F64" i="2"/>
  <c r="E64" i="2"/>
  <c r="J60" i="2"/>
  <c r="I60" i="2"/>
  <c r="H60" i="2"/>
  <c r="G60" i="2"/>
  <c r="F60" i="2"/>
  <c r="E60" i="2"/>
  <c r="J59" i="2"/>
  <c r="I59" i="2"/>
  <c r="H59" i="2"/>
  <c r="G59" i="2"/>
  <c r="F59" i="2"/>
  <c r="E59" i="2"/>
  <c r="O59" i="2" s="1"/>
  <c r="P59" i="2" s="1"/>
  <c r="J58" i="2"/>
  <c r="I58" i="2"/>
  <c r="H58" i="2"/>
  <c r="G58" i="2"/>
  <c r="F58" i="2"/>
  <c r="E58" i="2"/>
  <c r="J55" i="2"/>
  <c r="F55" i="2"/>
  <c r="E55" i="2"/>
  <c r="I54" i="2"/>
  <c r="H54" i="2"/>
  <c r="G54" i="2"/>
  <c r="J50" i="2"/>
  <c r="I50" i="2"/>
  <c r="H50" i="2"/>
  <c r="G50" i="2"/>
  <c r="F50" i="2"/>
  <c r="E50" i="2"/>
  <c r="H49" i="2"/>
  <c r="G49" i="2"/>
  <c r="F49" i="2"/>
  <c r="E49" i="2"/>
  <c r="J48" i="2"/>
  <c r="I48" i="2"/>
  <c r="H7" i="2"/>
  <c r="G7" i="2"/>
  <c r="F7" i="2"/>
  <c r="E7" i="2"/>
  <c r="H6" i="2"/>
  <c r="G6" i="2"/>
  <c r="F6" i="2"/>
  <c r="E6" i="2"/>
  <c r="J5" i="2"/>
  <c r="J82" i="2" s="1"/>
  <c r="I5" i="2"/>
  <c r="O5" i="2" s="1"/>
  <c r="P5" i="2" s="1"/>
  <c r="J4" i="2"/>
  <c r="I4" i="2"/>
  <c r="J80" i="1"/>
  <c r="J79" i="1"/>
  <c r="J68" i="1"/>
  <c r="J67" i="1"/>
  <c r="J64" i="1"/>
  <c r="J60" i="1"/>
  <c r="J59" i="1"/>
  <c r="J58" i="1"/>
  <c r="J57" i="1"/>
  <c r="J55" i="1"/>
  <c r="J50" i="1"/>
  <c r="J48" i="1"/>
  <c r="J42" i="1"/>
  <c r="O42" i="1" s="1"/>
  <c r="J35" i="1"/>
  <c r="O35" i="1" s="1"/>
  <c r="J18" i="1"/>
  <c r="O18" i="1" s="1"/>
  <c r="J5" i="1"/>
  <c r="J82" i="1" s="1"/>
  <c r="O82" i="1" s="1"/>
  <c r="J4" i="1"/>
  <c r="J56" i="1" s="1"/>
  <c r="O56" i="1" s="1"/>
  <c r="I78" i="1"/>
  <c r="I77" i="1"/>
  <c r="I68" i="1"/>
  <c r="I67" i="1"/>
  <c r="I64" i="1"/>
  <c r="I60" i="1"/>
  <c r="I59" i="1"/>
  <c r="I58" i="1"/>
  <c r="I57" i="1"/>
  <c r="I54" i="1"/>
  <c r="I50" i="1"/>
  <c r="I10" i="1"/>
  <c r="O10" i="1" s="1"/>
  <c r="I48" i="1"/>
  <c r="I41" i="1"/>
  <c r="O41" i="1" s="1"/>
  <c r="I33" i="1"/>
  <c r="O33" i="1" s="1"/>
  <c r="I5" i="1"/>
  <c r="I4" i="1"/>
  <c r="H34" i="1"/>
  <c r="G34" i="1"/>
  <c r="G78" i="1"/>
  <c r="O78" i="1" s="1"/>
  <c r="G77" i="1"/>
  <c r="O77" i="1" s="1"/>
  <c r="G68" i="1"/>
  <c r="G67" i="1"/>
  <c r="G64" i="1"/>
  <c r="H64" i="1"/>
  <c r="G60" i="1"/>
  <c r="G59" i="1"/>
  <c r="G58" i="1"/>
  <c r="G57" i="1"/>
  <c r="H60" i="1"/>
  <c r="H59" i="1"/>
  <c r="H58" i="1"/>
  <c r="H57" i="1"/>
  <c r="H54" i="1"/>
  <c r="G54" i="1"/>
  <c r="G50" i="1"/>
  <c r="H50" i="1"/>
  <c r="G49" i="1"/>
  <c r="H49" i="1"/>
  <c r="H40" i="1"/>
  <c r="G40" i="1"/>
  <c r="O40" i="1" s="1"/>
  <c r="H11" i="1"/>
  <c r="G11" i="1"/>
  <c r="O11" i="1" s="1"/>
  <c r="G7" i="1"/>
  <c r="H7" i="1"/>
  <c r="G6" i="1"/>
  <c r="H6" i="1"/>
  <c r="F64" i="1"/>
  <c r="F60" i="1"/>
  <c r="F59" i="1"/>
  <c r="F58" i="1"/>
  <c r="F57" i="1"/>
  <c r="F55" i="1"/>
  <c r="F50" i="1"/>
  <c r="E50" i="1"/>
  <c r="F49" i="1"/>
  <c r="F43" i="1"/>
  <c r="F36" i="1"/>
  <c r="F19" i="1"/>
  <c r="F7" i="1"/>
  <c r="F6" i="1"/>
  <c r="E19" i="1"/>
  <c r="E68" i="1"/>
  <c r="O68" i="1" s="1"/>
  <c r="E80" i="1"/>
  <c r="O80" i="1" s="1"/>
  <c r="E79" i="1"/>
  <c r="O79" i="1" s="1"/>
  <c r="E67" i="1"/>
  <c r="E64" i="1"/>
  <c r="E60" i="1"/>
  <c r="E59" i="1"/>
  <c r="E58" i="1"/>
  <c r="E57" i="1"/>
  <c r="E55" i="1"/>
  <c r="E49" i="1"/>
  <c r="O49" i="1" s="1"/>
  <c r="E43" i="1"/>
  <c r="O43" i="1" s="1"/>
  <c r="E36" i="1"/>
  <c r="O36" i="1" s="1"/>
  <c r="E7" i="1"/>
  <c r="E6" i="1"/>
  <c r="O54" i="1" l="1"/>
  <c r="O34" i="1"/>
  <c r="F51" i="7"/>
  <c r="H65" i="7"/>
  <c r="O67" i="1"/>
  <c r="O49" i="2"/>
  <c r="P49" i="2" s="1"/>
  <c r="O77" i="2"/>
  <c r="P77" i="2" s="1"/>
  <c r="O78" i="5"/>
  <c r="P78" i="5" s="1"/>
  <c r="O5" i="1"/>
  <c r="O79" i="3"/>
  <c r="O44" i="4"/>
  <c r="P44" i="4" s="1"/>
  <c r="G81" i="7"/>
  <c r="F63" i="7"/>
  <c r="I63" i="7" s="1"/>
  <c r="O48" i="1"/>
  <c r="O55" i="3"/>
  <c r="P55" i="3" s="1"/>
  <c r="O19" i="1"/>
  <c r="O50" i="2"/>
  <c r="P50" i="2" s="1"/>
  <c r="O5" i="3"/>
  <c r="P5" i="3" s="1"/>
  <c r="O48" i="3"/>
  <c r="O67" i="3"/>
  <c r="P67" i="3" s="1"/>
  <c r="O36" i="3"/>
  <c r="P36" i="3" s="1"/>
  <c r="O77" i="4"/>
  <c r="P77" i="4" s="1"/>
  <c r="O57" i="5"/>
  <c r="P57" i="5" s="1"/>
  <c r="O57" i="1"/>
  <c r="O50" i="1"/>
  <c r="G56" i="7"/>
  <c r="O55" i="1"/>
  <c r="O58" i="1"/>
  <c r="G64" i="7"/>
  <c r="O49" i="5"/>
  <c r="P49" i="5" s="1"/>
  <c r="O6" i="1"/>
  <c r="O59" i="1"/>
  <c r="O60" i="1"/>
  <c r="O7" i="1"/>
  <c r="O64" i="1"/>
  <c r="P80" i="6"/>
  <c r="P79" i="6"/>
  <c r="P55" i="6"/>
  <c r="P45" i="6"/>
  <c r="G50" i="7"/>
  <c r="G58" i="7"/>
  <c r="G68" i="7"/>
  <c r="I65" i="7"/>
  <c r="F62" i="7"/>
  <c r="H62" i="7" s="1"/>
  <c r="F46" i="7"/>
  <c r="P65" i="8"/>
  <c r="I66" i="7"/>
  <c r="I90" i="7"/>
  <c r="H83" i="7"/>
  <c r="H87" i="7"/>
  <c r="I85" i="7"/>
  <c r="H89" i="7"/>
  <c r="I74" i="7"/>
  <c r="H74" i="7"/>
  <c r="I73" i="7"/>
  <c r="H73" i="7"/>
  <c r="I53" i="7"/>
  <c r="H53" i="7"/>
  <c r="I37" i="7"/>
  <c r="H37" i="7"/>
  <c r="I69" i="7"/>
  <c r="H69" i="7"/>
  <c r="I52" i="7"/>
  <c r="H52" i="7"/>
  <c r="I38" i="7"/>
  <c r="H38" i="7"/>
  <c r="I70" i="7"/>
  <c r="H70" i="7"/>
  <c r="H12" i="7"/>
  <c r="I12" i="7"/>
  <c r="I26" i="7"/>
  <c r="H26" i="7"/>
  <c r="G9" i="7"/>
  <c r="I86" i="7"/>
  <c r="H86" i="7"/>
  <c r="F39" i="7"/>
  <c r="H29" i="7"/>
  <c r="I29" i="7"/>
  <c r="P62" i="11"/>
  <c r="P35" i="1"/>
  <c r="F35" i="7"/>
  <c r="P11" i="1"/>
  <c r="P46" i="8"/>
  <c r="G46" i="7"/>
  <c r="I75" i="7"/>
  <c r="H75" i="7"/>
  <c r="I25" i="7"/>
  <c r="H25" i="7"/>
  <c r="G80" i="7"/>
  <c r="P49" i="1"/>
  <c r="O45" i="2"/>
  <c r="P45" i="2" s="1"/>
  <c r="O54" i="4"/>
  <c r="P54" i="4" s="1"/>
  <c r="O44" i="5"/>
  <c r="G67" i="7"/>
  <c r="H71" i="7"/>
  <c r="P42" i="1"/>
  <c r="F42" i="7"/>
  <c r="P54" i="9"/>
  <c r="G54" i="7"/>
  <c r="P40" i="1"/>
  <c r="P78" i="9"/>
  <c r="G78" i="7"/>
  <c r="P79" i="8"/>
  <c r="G79" i="7"/>
  <c r="P48" i="1"/>
  <c r="F48" i="7"/>
  <c r="P77" i="9"/>
  <c r="G77" i="7"/>
  <c r="P7" i="8"/>
  <c r="G7" i="7"/>
  <c r="P10" i="1"/>
  <c r="F10" i="7"/>
  <c r="P43" i="1"/>
  <c r="F43" i="7"/>
  <c r="O68" i="2"/>
  <c r="P68" i="2" s="1"/>
  <c r="O55" i="2"/>
  <c r="P55" i="2" s="1"/>
  <c r="O48" i="4"/>
  <c r="P48" i="4" s="1"/>
  <c r="O48" i="2"/>
  <c r="P48" i="2" s="1"/>
  <c r="G20" i="7"/>
  <c r="I27" i="7"/>
  <c r="H27" i="7"/>
  <c r="G60" i="7"/>
  <c r="G47" i="7"/>
  <c r="H76" i="7"/>
  <c r="I76" i="7"/>
  <c r="G82" i="7"/>
  <c r="O64" i="5"/>
  <c r="P64" i="5" s="1"/>
  <c r="O57" i="2"/>
  <c r="P57" i="2" s="1"/>
  <c r="P4" i="8"/>
  <c r="G4" i="7"/>
  <c r="P48" i="8"/>
  <c r="G48" i="7"/>
  <c r="I22" i="7"/>
  <c r="H22" i="7"/>
  <c r="H31" i="7"/>
  <c r="I31" i="7"/>
  <c r="H88" i="7"/>
  <c r="I88" i="7"/>
  <c r="O8" i="6"/>
  <c r="F8" i="7" s="1"/>
  <c r="G59" i="7"/>
  <c r="P69" i="13"/>
  <c r="P5" i="8"/>
  <c r="G5" i="7"/>
  <c r="I51" i="7"/>
  <c r="H51" i="7"/>
  <c r="I23" i="7"/>
  <c r="H23" i="7"/>
  <c r="H32" i="7"/>
  <c r="I32" i="7"/>
  <c r="G49" i="7"/>
  <c r="P36" i="1"/>
  <c r="F36" i="7"/>
  <c r="P5" i="1"/>
  <c r="P33" i="1"/>
  <c r="F33" i="7"/>
  <c r="O78" i="2"/>
  <c r="P78" i="2" s="1"/>
  <c r="O79" i="5"/>
  <c r="P79" i="5" s="1"/>
  <c r="G6" i="7"/>
  <c r="G55" i="7"/>
  <c r="H61" i="7"/>
  <c r="I61" i="7"/>
  <c r="I24" i="7"/>
  <c r="H24" i="7"/>
  <c r="G8" i="7"/>
  <c r="G21" i="7"/>
  <c r="G45" i="7"/>
  <c r="O58" i="2"/>
  <c r="P58" i="2" s="1"/>
  <c r="P56" i="1"/>
  <c r="F19" i="7"/>
  <c r="P41" i="1"/>
  <c r="F41" i="7"/>
  <c r="P18" i="1"/>
  <c r="F18" i="7"/>
  <c r="G57" i="7"/>
  <c r="H72" i="7"/>
  <c r="I72" i="7"/>
  <c r="I84" i="7"/>
  <c r="H84" i="7"/>
  <c r="P37" i="6"/>
  <c r="P38" i="6"/>
  <c r="P74" i="11"/>
  <c r="P73" i="11"/>
  <c r="P53" i="11"/>
  <c r="P71" i="12"/>
  <c r="P72" i="12"/>
  <c r="P52" i="12"/>
  <c r="P80" i="13"/>
  <c r="P79" i="13"/>
  <c r="P70" i="13"/>
  <c r="P7" i="13"/>
  <c r="P55" i="13"/>
  <c r="P63" i="13"/>
  <c r="P57" i="13"/>
  <c r="P6" i="13"/>
  <c r="P45" i="13"/>
  <c r="P60" i="13"/>
  <c r="P20" i="13"/>
  <c r="P58" i="13"/>
  <c r="P64" i="13"/>
  <c r="P49" i="13"/>
  <c r="O6" i="2"/>
  <c r="P6" i="2" s="1"/>
  <c r="O59" i="5"/>
  <c r="P59" i="5" s="1"/>
  <c r="O55" i="5"/>
  <c r="P55" i="5" s="1"/>
  <c r="O77" i="5"/>
  <c r="P77" i="5" s="1"/>
  <c r="O11" i="5"/>
  <c r="P11" i="5" s="1"/>
  <c r="P82" i="1"/>
  <c r="O64" i="2"/>
  <c r="P64" i="2" s="1"/>
  <c r="O7" i="5"/>
  <c r="P7" i="5" s="1"/>
  <c r="O54" i="5"/>
  <c r="P54" i="5" s="1"/>
  <c r="O4" i="3"/>
  <c r="P4" i="3" s="1"/>
  <c r="O20" i="3"/>
  <c r="O59" i="3"/>
  <c r="P59" i="3" s="1"/>
  <c r="O80" i="3"/>
  <c r="O5" i="4"/>
  <c r="P5" i="4" s="1"/>
  <c r="O11" i="4"/>
  <c r="P11" i="4" s="1"/>
  <c r="O81" i="3"/>
  <c r="P81" i="3" s="1"/>
  <c r="P80" i="1"/>
  <c r="O68" i="3"/>
  <c r="P68" i="3" s="1"/>
  <c r="O82" i="6"/>
  <c r="P82" i="6" s="1"/>
  <c r="O82" i="2"/>
  <c r="P82" i="2" s="1"/>
  <c r="O34" i="3"/>
  <c r="P34" i="3" s="1"/>
  <c r="O7" i="2"/>
  <c r="P7" i="2" s="1"/>
  <c r="O54" i="2"/>
  <c r="P54" i="2" s="1"/>
  <c r="O60" i="5"/>
  <c r="P60" i="5" s="1"/>
  <c r="O68" i="5"/>
  <c r="P68" i="5" s="1"/>
  <c r="O56" i="4"/>
  <c r="P56" i="4" s="1"/>
  <c r="O50" i="5"/>
  <c r="P50" i="5" s="1"/>
  <c r="O82" i="4"/>
  <c r="P82" i="4" s="1"/>
  <c r="O57" i="6"/>
  <c r="O44" i="2"/>
  <c r="P44" i="2" s="1"/>
  <c r="O6" i="5"/>
  <c r="P6" i="5" s="1"/>
  <c r="O58" i="5"/>
  <c r="P58" i="5" s="1"/>
  <c r="P19" i="1"/>
  <c r="P77" i="1"/>
  <c r="O60" i="2"/>
  <c r="P60" i="2" s="1"/>
  <c r="O47" i="6"/>
  <c r="F47" i="7" s="1"/>
  <c r="O78" i="3"/>
  <c r="P78" i="3" s="1"/>
  <c r="P4" i="6"/>
  <c r="O68" i="4"/>
  <c r="O50" i="4"/>
  <c r="P50" i="4" s="1"/>
  <c r="O57" i="4"/>
  <c r="P57" i="4" s="1"/>
  <c r="O58" i="4"/>
  <c r="P58" i="4" s="1"/>
  <c r="O64" i="4"/>
  <c r="P64" i="4" s="1"/>
  <c r="O49" i="4"/>
  <c r="O79" i="4"/>
  <c r="P79" i="4" s="1"/>
  <c r="O6" i="4"/>
  <c r="O45" i="4"/>
  <c r="P45" i="4" s="1"/>
  <c r="O55" i="4"/>
  <c r="P55" i="4" s="1"/>
  <c r="O60" i="4"/>
  <c r="P60" i="4" s="1"/>
  <c r="O7" i="4"/>
  <c r="O59" i="4"/>
  <c r="P59" i="4" s="1"/>
  <c r="O80" i="4"/>
  <c r="P80" i="4" s="1"/>
  <c r="O67" i="4"/>
  <c r="O20" i="4"/>
  <c r="P92" i="10"/>
  <c r="O50" i="6"/>
  <c r="O9" i="6"/>
  <c r="F9" i="7" s="1"/>
  <c r="O64" i="6"/>
  <c r="O60" i="6"/>
  <c r="O67" i="6"/>
  <c r="O58" i="6"/>
  <c r="O59" i="6"/>
  <c r="O49" i="6"/>
  <c r="P44" i="9"/>
  <c r="P64" i="8"/>
  <c r="P55" i="8"/>
  <c r="P68" i="8"/>
  <c r="P67" i="8"/>
  <c r="P58" i="8"/>
  <c r="P20" i="8"/>
  <c r="P57" i="8"/>
  <c r="P6" i="8"/>
  <c r="P50" i="8"/>
  <c r="P59" i="8"/>
  <c r="P60" i="8"/>
  <c r="P49" i="8"/>
  <c r="P45" i="8"/>
  <c r="P56" i="8"/>
  <c r="O60" i="3"/>
  <c r="O40" i="3"/>
  <c r="F40" i="7" s="1"/>
  <c r="O7" i="3"/>
  <c r="O50" i="3"/>
  <c r="O58" i="3"/>
  <c r="O77" i="3"/>
  <c r="P82" i="3"/>
  <c r="P48" i="3"/>
  <c r="O64" i="3"/>
  <c r="O11" i="3"/>
  <c r="O56" i="3"/>
  <c r="O54" i="3"/>
  <c r="P79" i="3"/>
  <c r="P18" i="3"/>
  <c r="J81" i="2"/>
  <c r="O81" i="2" s="1"/>
  <c r="P81" i="2" s="1"/>
  <c r="O4" i="1"/>
  <c r="J81" i="1"/>
  <c r="O81" i="1" s="1"/>
  <c r="O4" i="4"/>
  <c r="P4" i="4" s="1"/>
  <c r="O81" i="4"/>
  <c r="P81" i="4" s="1"/>
  <c r="O4" i="2"/>
  <c r="P4" i="2" s="1"/>
  <c r="O4" i="5"/>
  <c r="P4" i="5" s="1"/>
  <c r="F5" i="7" l="1"/>
  <c r="F78" i="7"/>
  <c r="H63" i="7"/>
  <c r="F56" i="7"/>
  <c r="H56" i="7" s="1"/>
  <c r="I46" i="7"/>
  <c r="P92" i="11"/>
  <c r="F11" i="7"/>
  <c r="H11" i="7" s="1"/>
  <c r="F81" i="7"/>
  <c r="I81" i="7" s="1"/>
  <c r="F80" i="7"/>
  <c r="H80" i="7" s="1"/>
  <c r="F20" i="7"/>
  <c r="H20" i="7" s="1"/>
  <c r="P7" i="4"/>
  <c r="P68" i="4"/>
  <c r="P59" i="6"/>
  <c r="P58" i="6"/>
  <c r="P49" i="6"/>
  <c r="P57" i="6"/>
  <c r="P60" i="6"/>
  <c r="P64" i="6"/>
  <c r="F49" i="7"/>
  <c r="H49" i="7" s="1"/>
  <c r="P8" i="6"/>
  <c r="I62" i="7"/>
  <c r="P80" i="3"/>
  <c r="H46" i="7"/>
  <c r="H40" i="7"/>
  <c r="I40" i="7"/>
  <c r="I36" i="7"/>
  <c r="H36" i="7"/>
  <c r="I35" i="7"/>
  <c r="H35" i="7"/>
  <c r="H48" i="7"/>
  <c r="I48" i="7"/>
  <c r="P44" i="5"/>
  <c r="P92" i="5" s="1"/>
  <c r="F44" i="7"/>
  <c r="P50" i="1"/>
  <c r="F50" i="7"/>
  <c r="P57" i="1"/>
  <c r="F57" i="7"/>
  <c r="I21" i="7"/>
  <c r="H21" i="7"/>
  <c r="I9" i="7"/>
  <c r="H9" i="7"/>
  <c r="P59" i="1"/>
  <c r="F59" i="7"/>
  <c r="P34" i="1"/>
  <c r="F34" i="7"/>
  <c r="P6" i="1"/>
  <c r="F6" i="7"/>
  <c r="I39" i="7"/>
  <c r="H39" i="7"/>
  <c r="P92" i="13"/>
  <c r="H78" i="7"/>
  <c r="I78" i="7"/>
  <c r="P60" i="1"/>
  <c r="F60" i="7"/>
  <c r="I18" i="7"/>
  <c r="H18" i="7"/>
  <c r="F45" i="7"/>
  <c r="F77" i="7"/>
  <c r="P20" i="3"/>
  <c r="P55" i="1"/>
  <c r="F55" i="7"/>
  <c r="P67" i="1"/>
  <c r="F67" i="7"/>
  <c r="P7" i="1"/>
  <c r="F7" i="7"/>
  <c r="F79" i="7"/>
  <c r="P92" i="12"/>
  <c r="I41" i="7"/>
  <c r="H41" i="7"/>
  <c r="I43" i="7"/>
  <c r="H43" i="7"/>
  <c r="P58" i="1"/>
  <c r="F58" i="7"/>
  <c r="I19" i="7"/>
  <c r="H19" i="7"/>
  <c r="H33" i="7"/>
  <c r="I33" i="7"/>
  <c r="H10" i="7"/>
  <c r="I10" i="7"/>
  <c r="P54" i="1"/>
  <c r="F54" i="7"/>
  <c r="F82" i="7"/>
  <c r="I47" i="7"/>
  <c r="H47" i="7"/>
  <c r="I5" i="7"/>
  <c r="H5" i="7"/>
  <c r="F4" i="7"/>
  <c r="P64" i="1"/>
  <c r="F64" i="7"/>
  <c r="P92" i="9"/>
  <c r="P68" i="1"/>
  <c r="F68" i="7"/>
  <c r="H8" i="7"/>
  <c r="I8" i="7"/>
  <c r="I42" i="7"/>
  <c r="H42" i="7"/>
  <c r="P50" i="6"/>
  <c r="P67" i="6"/>
  <c r="P47" i="6"/>
  <c r="P92" i="8"/>
  <c r="P81" i="1"/>
  <c r="P79" i="1"/>
  <c r="P78" i="1"/>
  <c r="P77" i="3"/>
  <c r="P58" i="3"/>
  <c r="P40" i="3"/>
  <c r="P7" i="3"/>
  <c r="P50" i="3"/>
  <c r="P6" i="4"/>
  <c r="P67" i="4"/>
  <c r="P20" i="4"/>
  <c r="P49" i="4"/>
  <c r="P9" i="6"/>
  <c r="P60" i="3"/>
  <c r="P56" i="3"/>
  <c r="P54" i="3"/>
  <c r="P11" i="3"/>
  <c r="P64" i="3"/>
  <c r="P93" i="2"/>
  <c r="P4" i="1"/>
  <c r="I56" i="7" l="1"/>
  <c r="P92" i="1"/>
  <c r="I80" i="7"/>
  <c r="I11" i="7"/>
  <c r="I20" i="7"/>
  <c r="H81" i="7"/>
  <c r="I49" i="7"/>
  <c r="H45" i="7"/>
  <c r="I45" i="7"/>
  <c r="I60" i="7"/>
  <c r="H60" i="7"/>
  <c r="H34" i="7"/>
  <c r="I34" i="7"/>
  <c r="I57" i="7"/>
  <c r="H57" i="7"/>
  <c r="I4" i="7"/>
  <c r="H4" i="7"/>
  <c r="H82" i="7"/>
  <c r="I82" i="7"/>
  <c r="H64" i="7"/>
  <c r="I64" i="7"/>
  <c r="H77" i="7"/>
  <c r="I77" i="7"/>
  <c r="I54" i="7"/>
  <c r="H54" i="7"/>
  <c r="I55" i="7"/>
  <c r="H55" i="7"/>
  <c r="I58" i="7"/>
  <c r="H58" i="7"/>
  <c r="P92" i="6"/>
  <c r="I7" i="7"/>
  <c r="H7" i="7"/>
  <c r="H50" i="7"/>
  <c r="I50" i="7"/>
  <c r="I67" i="7"/>
  <c r="H67" i="7"/>
  <c r="I44" i="7"/>
  <c r="H44" i="7"/>
  <c r="I6" i="7"/>
  <c r="H6" i="7"/>
  <c r="I59" i="7"/>
  <c r="H59" i="7"/>
  <c r="H79" i="7"/>
  <c r="I79" i="7"/>
  <c r="I68" i="7"/>
  <c r="H68" i="7"/>
  <c r="P92" i="4"/>
  <c r="P92" i="3"/>
  <c r="H92" i="7" l="1"/>
  <c r="I92" i="7"/>
</calcChain>
</file>

<file path=xl/sharedStrings.xml><?xml version="1.0" encoding="utf-8"?>
<sst xmlns="http://schemas.openxmlformats.org/spreadsheetml/2006/main" count="6576" uniqueCount="327">
  <si>
    <t>RAL 7021</t>
  </si>
  <si>
    <t>RAL 9003</t>
  </si>
  <si>
    <r>
      <rPr>
        <b/>
        <sz val="24"/>
        <rFont val="Calibri"/>
        <family val="2"/>
        <charset val="162"/>
        <scheme val="minor"/>
      </rPr>
      <t>SHELF MONOBLOCK                                                                                                                                (</t>
    </r>
    <r>
      <rPr>
        <sz val="24"/>
        <rFont val="Calibri"/>
        <family val="2"/>
        <charset val="162"/>
        <scheme val="minor"/>
      </rPr>
      <t xml:space="preserve">WITHOUT C LABELS)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200X500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</si>
  <si>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(WITHOUT C LABELS)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200X700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</si>
  <si>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(WITHOUT C LABELS)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300X700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</si>
  <si>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(WITHOUT C LABELS)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400X700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</si>
  <si>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GLASS SHELF 
</t>
    </r>
    <r>
      <rPr>
        <sz val="24"/>
        <rFont val="Calibri"/>
        <family val="2"/>
        <charset val="162"/>
        <scheme val="minor"/>
      </rPr>
      <t xml:space="preserve">(6mm TEMPERED)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</t>
    </r>
    <r>
      <rPr>
        <sz val="24"/>
        <rFont val="Calibri"/>
        <family val="2"/>
        <charset val="162"/>
        <scheme val="minor"/>
      </rPr>
      <t xml:space="preserve">200X500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</si>
  <si>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GLASS SHELF 
</t>
    </r>
    <r>
      <rPr>
        <sz val="24"/>
        <rFont val="Calibri"/>
        <family val="2"/>
        <charset val="162"/>
        <scheme val="minor"/>
      </rPr>
      <t>(6mm TEMPERED)</t>
    </r>
    <r>
      <rPr>
        <b/>
        <sz val="24"/>
        <rFont val="Calibri"/>
        <family val="2"/>
        <charset val="162"/>
        <scheme val="minor"/>
      </rPr>
      <t xml:space="preserve"> </t>
    </r>
    <r>
      <rPr>
        <sz val="24"/>
        <rFont val="Calibri"/>
        <family val="2"/>
        <charset val="162"/>
        <scheme val="minor"/>
      </rPr>
      <t xml:space="preserve">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</t>
    </r>
    <r>
      <rPr>
        <sz val="24"/>
        <rFont val="Calibri"/>
        <family val="2"/>
        <charset val="162"/>
        <scheme val="minor"/>
      </rPr>
      <t xml:space="preserve">300X700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</si>
  <si>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SLIDING SHELF </t>
    </r>
    <r>
      <rPr>
        <b/>
        <sz val="24"/>
        <color rgb="FFFF0000"/>
        <rFont val="Calibri"/>
        <family val="2"/>
        <charset val="162"/>
        <scheme val="minor"/>
      </rPr>
      <t>(WITHOUT HOLES)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</t>
    </r>
    <r>
      <rPr>
        <sz val="24"/>
        <rFont val="Calibri"/>
        <family val="2"/>
        <charset val="162"/>
        <scheme val="minor"/>
      </rPr>
      <t xml:space="preserve">300X700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</si>
  <si>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RAL 7201</t>
  </si>
  <si>
    <r>
      <rPr>
        <b/>
        <sz val="24"/>
        <rFont val="Calibri"/>
        <family val="2"/>
        <charset val="162"/>
        <scheme val="minor"/>
      </rPr>
      <t xml:space="preserve">SLIDING SHELF </t>
    </r>
    <r>
      <rPr>
        <b/>
        <sz val="24"/>
        <color rgb="FFFF0000"/>
        <rFont val="Calibri"/>
        <family val="2"/>
        <charset val="162"/>
        <scheme val="minor"/>
      </rPr>
      <t>(WITHOUT HOLES)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4</t>
    </r>
    <r>
      <rPr>
        <sz val="24"/>
        <rFont val="Calibri"/>
        <family val="2"/>
        <charset val="162"/>
        <scheme val="minor"/>
      </rPr>
      <t xml:space="preserve">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</si>
  <si>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GLASS SHELF CONSOLE (ONE PIECE) </t>
    </r>
    <r>
      <rPr>
        <sz val="24"/>
        <rFont val="Calibri"/>
        <family val="2"/>
        <charset val="162"/>
        <scheme val="minor"/>
      </rPr>
      <t xml:space="preserve">                                         200X500</t>
    </r>
  </si>
  <si>
    <r>
      <rPr>
        <b/>
        <sz val="24"/>
        <rFont val="Calibri"/>
        <family val="2"/>
        <charset val="162"/>
        <scheme val="minor"/>
      </rPr>
      <t xml:space="preserve">METAL STANDART BRACKET FLAT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200 LÜK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</si>
  <si>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METAL STANDART BRACKET FLAT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300 LÜK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</si>
  <si>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t xml:space="preserve">SLIDING METAL PLINTH PLAIN 
</t>
    </r>
    <r>
      <rPr>
        <sz val="24"/>
        <rFont val="Calibri"/>
        <family val="2"/>
        <charset val="162"/>
        <scheme val="minor"/>
      </rPr>
      <t>700</t>
    </r>
  </si>
  <si>
    <r>
      <t xml:space="preserve">METAL PLINTH PLAIN 
</t>
    </r>
    <r>
      <rPr>
        <sz val="24"/>
        <rFont val="Calibri"/>
        <family val="2"/>
        <charset val="162"/>
        <scheme val="minor"/>
      </rPr>
      <t>500</t>
    </r>
  </si>
  <si>
    <r>
      <t xml:space="preserve">METAL PLINTH PLAIN 
</t>
    </r>
    <r>
      <rPr>
        <sz val="24"/>
        <rFont val="Calibri"/>
        <family val="2"/>
        <charset val="162"/>
        <scheme val="minor"/>
      </rPr>
      <t>700</t>
    </r>
  </si>
  <si>
    <t>PROFILE 30x60 H:2200</t>
  </si>
  <si>
    <t>PROFILE 30x60 H:1400</t>
  </si>
  <si>
    <t>FOOT D:200</t>
  </si>
  <si>
    <t>FOOT D:300</t>
  </si>
  <si>
    <t>FOOT D:400</t>
  </si>
  <si>
    <t>Adjuster Clip 30*30 - 30*60 - 30*80   *Zinc*</t>
  </si>
  <si>
    <t>Set Screw Ø30 M10*60 (Td-K8,8) *Zinc*</t>
  </si>
  <si>
    <t>Bolt Imbus M10*50 (Bb-Td-Iso7380-K8,8) *Zinc*</t>
  </si>
  <si>
    <t>Nut with Fiber M10 (Ak-Dın985-K6,8) *Zinc*</t>
  </si>
  <si>
    <t>CARRIER BAR 15X30 D:35                                                                             L:700</t>
  </si>
  <si>
    <t>ADVERTISING CANOPY ON THE UNIT                                                     H:100 L:500</t>
  </si>
  <si>
    <t>ADVERTISING CANOPY ON THE UNIT                                                     H:100 L:700</t>
  </si>
  <si>
    <t>APPARATUS FOR THE UNIT FIXING TO THE FLOOR</t>
  </si>
  <si>
    <t xml:space="preserve">METAL FRONT WIRE H:50  L:700                                                                                                                                                                       </t>
  </si>
  <si>
    <t>STANDARD 700 INTERCONNECTION</t>
  </si>
  <si>
    <r>
      <t xml:space="preserve">PROFILE SHEET SIDE CLOSING                                                           </t>
    </r>
    <r>
      <rPr>
        <b/>
        <sz val="24"/>
        <color rgb="FFFF0000"/>
        <rFont val="Calibri"/>
        <family val="2"/>
        <charset val="162"/>
        <scheme val="minor"/>
      </rPr>
      <t>RIGHT</t>
    </r>
    <r>
      <rPr>
        <b/>
        <sz val="24"/>
        <rFont val="Calibri"/>
        <family val="2"/>
        <charset val="162"/>
        <scheme val="minor"/>
      </rPr>
      <t xml:space="preserve"> H:2200 D:60</t>
    </r>
  </si>
  <si>
    <r>
      <t xml:space="preserve">PROFILE SHEET SIDE CLOSING                                                                    </t>
    </r>
    <r>
      <rPr>
        <b/>
        <sz val="24"/>
        <color rgb="FFFF0000"/>
        <rFont val="Calibri"/>
        <family val="2"/>
        <charset val="162"/>
        <scheme val="minor"/>
      </rPr>
      <t>LEFT</t>
    </r>
    <r>
      <rPr>
        <b/>
        <sz val="24"/>
        <rFont val="Calibri"/>
        <family val="2"/>
        <charset val="162"/>
        <scheme val="minor"/>
      </rPr>
      <t xml:space="preserve"> H:2200 D:60</t>
    </r>
  </si>
  <si>
    <r>
      <t xml:space="preserve">PROFILE SHEET SIDE CLOSING                                                                   </t>
    </r>
    <r>
      <rPr>
        <b/>
        <sz val="24"/>
        <color rgb="FFFF0000"/>
        <rFont val="Calibri"/>
        <family val="2"/>
        <charset val="162"/>
        <scheme val="minor"/>
      </rPr>
      <t>RIGHT</t>
    </r>
    <r>
      <rPr>
        <b/>
        <sz val="24"/>
        <rFont val="Calibri"/>
        <family val="2"/>
        <charset val="162"/>
        <scheme val="minor"/>
      </rPr>
      <t xml:space="preserve"> H:1400 D:60</t>
    </r>
  </si>
  <si>
    <r>
      <t xml:space="preserve">PROFILE SHEET SIDE CLOSING                                                                    </t>
    </r>
    <r>
      <rPr>
        <b/>
        <sz val="24"/>
        <color rgb="FFFF0000"/>
        <rFont val="Calibri"/>
        <family val="2"/>
        <charset val="162"/>
        <scheme val="minor"/>
      </rPr>
      <t>LEFT</t>
    </r>
    <r>
      <rPr>
        <b/>
        <sz val="24"/>
        <rFont val="Calibri"/>
        <family val="2"/>
        <charset val="162"/>
        <scheme val="minor"/>
      </rPr>
      <t xml:space="preserve"> H:1400 D:60</t>
    </r>
  </si>
  <si>
    <t>SHEET GONDOLA CAP ON UNIT L:700 D:60</t>
  </si>
  <si>
    <t>SHEET SLIDING GONDOLA CAP ON UNIT L:700 D:60</t>
  </si>
  <si>
    <r>
      <t xml:space="preserve">SHEET GONDOLA CAP FOR FOOT  
</t>
    </r>
    <r>
      <rPr>
        <b/>
        <sz val="24"/>
        <color rgb="FFFF0000"/>
        <rFont val="Calibri"/>
        <family val="2"/>
        <charset val="162"/>
        <scheme val="minor"/>
      </rPr>
      <t>RIGHT D:200</t>
    </r>
  </si>
  <si>
    <r>
      <t xml:space="preserve">SHEET GONDOLA CAP FOR FOOT  
</t>
    </r>
    <r>
      <rPr>
        <b/>
        <sz val="24"/>
        <color rgb="FFFF0000"/>
        <rFont val="Calibri"/>
        <family val="2"/>
        <charset val="162"/>
        <scheme val="minor"/>
      </rPr>
      <t>LEFT D:200</t>
    </r>
  </si>
  <si>
    <r>
      <t xml:space="preserve">SHEET GONDOLA CAP FOR FOOT  
</t>
    </r>
    <r>
      <rPr>
        <b/>
        <sz val="24"/>
        <color rgb="FFFF0000"/>
        <rFont val="Calibri"/>
        <family val="2"/>
        <charset val="162"/>
        <scheme val="minor"/>
      </rPr>
      <t>RIGHT D:300</t>
    </r>
  </si>
  <si>
    <r>
      <t xml:space="preserve">SHEET GONDOLA CAP FOR FOOT  
</t>
    </r>
    <r>
      <rPr>
        <b/>
        <sz val="24"/>
        <color rgb="FFFF0000"/>
        <rFont val="Calibri"/>
        <family val="2"/>
        <charset val="162"/>
        <scheme val="minor"/>
      </rPr>
      <t>LEFT D:300</t>
    </r>
  </si>
  <si>
    <t>Fond 400 x 500</t>
  </si>
  <si>
    <t>fond 500 x 500</t>
  </si>
  <si>
    <t>Fond 400 x 700</t>
  </si>
  <si>
    <t>fond 500 x 700</t>
  </si>
  <si>
    <t>fond extensible 400</t>
  </si>
  <si>
    <t>Fond extensible 500</t>
  </si>
  <si>
    <t>Tablette 200 x 500</t>
  </si>
  <si>
    <t>Tablette 200 x 700</t>
  </si>
  <si>
    <t>Tablette 200 x 700 pour bacs soldeurs</t>
  </si>
  <si>
    <t>Tabette 300 x 700 pour bacs soldeurs</t>
  </si>
  <si>
    <t>Tabette 300 x 700 sans trou</t>
  </si>
  <si>
    <t>Tablette 400 x 700 sans trou</t>
  </si>
  <si>
    <t>Tablettes verres 300 X 700</t>
  </si>
  <si>
    <t>Tablettes extensibles sans trou 300 X 700</t>
  </si>
  <si>
    <t>Tablettes extensibles sans trou 400 X 700</t>
  </si>
  <si>
    <t>Console tablettes verre 200 X 500</t>
  </si>
  <si>
    <t>Console verre 300 x 700</t>
  </si>
  <si>
    <t>Console 200</t>
  </si>
  <si>
    <t>Console 300</t>
  </si>
  <si>
    <t>Plinthe extensible</t>
  </si>
  <si>
    <t>Plinthe 500</t>
  </si>
  <si>
    <t>Plinthe 700</t>
  </si>
  <si>
    <t>Montant 2200</t>
  </si>
  <si>
    <t>Montant 1400</t>
  </si>
  <si>
    <t>Pied 200</t>
  </si>
  <si>
    <t>Pied 300</t>
  </si>
  <si>
    <t>Boulon imbus M10*50</t>
  </si>
  <si>
    <t>vis de réglage M10*50</t>
  </si>
  <si>
    <t xml:space="preserve">Clip de réglage </t>
  </si>
  <si>
    <t>Ecrou avec fibre M10</t>
  </si>
  <si>
    <t>barre de charge 700</t>
  </si>
  <si>
    <t>Capot Pub 500</t>
  </si>
  <si>
    <t>Capot pub 700</t>
  </si>
  <si>
    <t>Fixations pour le sol</t>
  </si>
  <si>
    <t>Butée frontale métal 700 x 50</t>
  </si>
  <si>
    <t>Cache montant droit 2200</t>
  </si>
  <si>
    <t>cache montant gauche 2200</t>
  </si>
  <si>
    <t>Cache montant droit 1400</t>
  </si>
  <si>
    <t>Cache montant gauche 1400</t>
  </si>
  <si>
    <t>capot 700</t>
  </si>
  <si>
    <t>capot extensible</t>
  </si>
  <si>
    <t>cache pied droit 200</t>
  </si>
  <si>
    <t>cache pied gauche 200</t>
  </si>
  <si>
    <t>cache pied droit 300</t>
  </si>
  <si>
    <t>remarques</t>
  </si>
  <si>
    <t>Prix  d'achat unitaire HT</t>
  </si>
  <si>
    <t>Désignation produit 
 en anglais</t>
  </si>
  <si>
    <t>Désignation produit  
en francais</t>
  </si>
  <si>
    <t>SEPERATOR WITHOUT HOLES - FLAT 
separateur sans trou</t>
  </si>
  <si>
    <t>GLASS SEPERATOR PERFORATED 
perforation pour separateur verre</t>
  </si>
  <si>
    <t>STANDART PERFORATED SHELF  
Tablette standard perforée</t>
  </si>
  <si>
    <t>Tablette verre 200 x 500</t>
  </si>
  <si>
    <t>FOR THE MIDDLE COUNTER DESK 
pour inter comptoir</t>
  </si>
  <si>
    <t>FOR THE WALL UNIT 
Pour les linéaires muraux</t>
  </si>
  <si>
    <t>4 PCS SCREWS WILL BE ADDED TO EACH PIECE TO FIX THE BACK PANEL 
4 vis devront être ajoutée pour une fixation sur les fonds</t>
  </si>
  <si>
    <t>Nombre</t>
  </si>
  <si>
    <t>Console tablettes verre 200 X 700</t>
  </si>
  <si>
    <r>
      <rPr>
        <b/>
        <sz val="24"/>
        <rFont val="Calibri"/>
        <family val="2"/>
        <charset val="162"/>
        <scheme val="minor"/>
      </rPr>
      <t xml:space="preserve">GLASS SHELF 
</t>
    </r>
    <r>
      <rPr>
        <sz val="24"/>
        <rFont val="Calibri"/>
        <family val="2"/>
        <charset val="162"/>
        <scheme val="minor"/>
      </rPr>
      <t>(6mm TEMPERED)</t>
    </r>
    <r>
      <rPr>
        <b/>
        <sz val="24"/>
        <rFont val="Calibri"/>
        <family val="2"/>
        <charset val="162"/>
        <scheme val="minor"/>
      </rPr>
      <t xml:space="preserve"> </t>
    </r>
    <r>
      <rPr>
        <sz val="24"/>
        <rFont val="Calibri"/>
        <family val="2"/>
        <charset val="162"/>
        <scheme val="minor"/>
      </rPr>
      <t xml:space="preserve">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2</t>
    </r>
    <r>
      <rPr>
        <sz val="24"/>
        <rFont val="Calibri"/>
        <family val="2"/>
        <charset val="162"/>
        <scheme val="minor"/>
      </rPr>
      <t xml:space="preserve">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</si>
  <si>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Tablettes verres 200 X 700</t>
  </si>
  <si>
    <r>
      <rPr>
        <b/>
        <sz val="24"/>
        <rFont val="Calibri"/>
        <family val="2"/>
        <charset val="162"/>
        <scheme val="minor"/>
      </rPr>
      <t xml:space="preserve">GLASS SHELF 
</t>
    </r>
    <r>
      <rPr>
        <sz val="24"/>
        <rFont val="Calibri"/>
        <family val="2"/>
        <charset val="162"/>
        <scheme val="minor"/>
      </rPr>
      <t>(6mm TEMPERED)</t>
    </r>
    <r>
      <rPr>
        <b/>
        <sz val="24"/>
        <rFont val="Calibri"/>
        <family val="2"/>
        <charset val="162"/>
        <scheme val="minor"/>
      </rPr>
      <t xml:space="preserve"> </t>
    </r>
    <r>
      <rPr>
        <sz val="24"/>
        <rFont val="Calibri"/>
        <family val="2"/>
        <charset val="162"/>
        <scheme val="minor"/>
      </rPr>
      <t xml:space="preserve">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2</t>
    </r>
    <r>
      <rPr>
        <sz val="24"/>
        <rFont val="Calibri"/>
        <family val="2"/>
        <charset val="162"/>
        <scheme val="minor"/>
      </rPr>
      <t xml:space="preserve">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</si>
  <si>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Tablettes verres 200 X 500</t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</si>
  <si>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(WITHOUT C LABELS)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300X500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</si>
  <si>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Tabette 300 x 500 sans trou</t>
  </si>
  <si>
    <r>
      <rPr>
        <b/>
        <sz val="24"/>
        <rFont val="Calibri"/>
        <family val="2"/>
        <charset val="162"/>
        <scheme val="minor"/>
      </rPr>
      <t xml:space="preserve">GLASS SHELF 
</t>
    </r>
    <r>
      <rPr>
        <sz val="24"/>
        <rFont val="Calibri"/>
        <family val="2"/>
        <charset val="162"/>
        <scheme val="minor"/>
      </rPr>
      <t>(6mm TEMPERED)</t>
    </r>
    <r>
      <rPr>
        <b/>
        <sz val="24"/>
        <rFont val="Calibri"/>
        <family val="2"/>
        <charset val="162"/>
        <scheme val="minor"/>
      </rPr>
      <t xml:space="preserve"> </t>
    </r>
    <r>
      <rPr>
        <sz val="24"/>
        <rFont val="Calibri"/>
        <family val="2"/>
        <charset val="162"/>
        <scheme val="minor"/>
      </rPr>
      <t xml:space="preserve">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</t>
    </r>
    <r>
      <rPr>
        <sz val="24"/>
        <rFont val="Calibri"/>
        <family val="2"/>
        <charset val="162"/>
        <scheme val="minor"/>
      </rPr>
      <t xml:space="preserve">300X500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</si>
  <si>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Tablettes verres 300 X 500</t>
  </si>
  <si>
    <t>Console verre 300 x 500</t>
  </si>
  <si>
    <r>
      <rPr>
        <b/>
        <sz val="24"/>
        <rFont val="Calibri"/>
        <family val="2"/>
        <charset val="162"/>
        <scheme val="minor"/>
      </rPr>
      <t xml:space="preserve">BACK PANEL </t>
    </r>
    <r>
      <rPr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    400X500                 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</si>
  <si>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BACK PANEL   </t>
    </r>
    <r>
      <rPr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500X500                 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</si>
  <si>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>BACK PANEL</t>
    </r>
    <r>
      <rPr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       400X700                 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</si>
  <si>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BACK PANEL </t>
    </r>
    <r>
      <rPr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                500X700                 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</si>
  <si>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SLIDING BACK PANEL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400X700    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</si>
  <si>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SLIDING BACK PANEL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500X700    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</si>
  <si>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TOTAL</t>
  </si>
  <si>
    <r>
      <rPr>
        <b/>
        <sz val="24"/>
        <rFont val="Calibri"/>
        <family val="2"/>
        <charset val="162"/>
        <scheme val="minor"/>
      </rPr>
      <t xml:space="preserve">GLASS SHELF CONSOLE </t>
    </r>
    <r>
      <rPr>
        <sz val="24"/>
        <rFont val="Calibri"/>
        <family val="2"/>
        <charset val="162"/>
        <scheme val="minor"/>
      </rPr>
      <t xml:space="preserve">                                       300X700</t>
    </r>
  </si>
  <si>
    <r>
      <rPr>
        <b/>
        <sz val="24"/>
        <rFont val="Calibri"/>
        <family val="2"/>
        <charset val="162"/>
        <scheme val="minor"/>
      </rPr>
      <t xml:space="preserve">GLASS SHELF CONSOLE </t>
    </r>
    <r>
      <rPr>
        <sz val="24"/>
        <rFont val="Calibri"/>
        <family val="2"/>
        <charset val="162"/>
        <scheme val="minor"/>
      </rPr>
      <t xml:space="preserve">                                        300X500</t>
    </r>
  </si>
  <si>
    <r>
      <rPr>
        <b/>
        <sz val="24"/>
        <rFont val="Calibri"/>
        <family val="2"/>
        <charset val="162"/>
        <scheme val="minor"/>
      </rPr>
      <t xml:space="preserve">GLASS SHELF CONSOLE </t>
    </r>
    <r>
      <rPr>
        <sz val="24"/>
        <rFont val="Calibri"/>
        <family val="2"/>
        <charset val="162"/>
        <scheme val="minor"/>
      </rPr>
      <t xml:space="preserve">                                       200X700</t>
    </r>
  </si>
  <si>
    <t>PRIX</t>
  </si>
  <si>
    <r>
      <rPr>
        <b/>
        <sz val="24"/>
        <rFont val="Calibri"/>
        <family val="2"/>
        <charset val="162"/>
        <scheme val="minor"/>
      </rPr>
      <t>SHELF MONOBLOCK                                                                                                                                (</t>
    </r>
    <r>
      <rPr>
        <sz val="24"/>
        <rFont val="Calibri"/>
        <family val="2"/>
        <charset val="162"/>
        <scheme val="minor"/>
      </rPr>
      <t>WIthout c labels)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200X500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</si>
  <si>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>GLASS SHELF CONSOLE</t>
    </r>
    <r>
      <rPr>
        <sz val="24"/>
        <rFont val="Calibri"/>
        <family val="2"/>
        <charset val="162"/>
        <scheme val="minor"/>
      </rPr>
      <t xml:space="preserve">                                         300X700</t>
    </r>
  </si>
  <si>
    <r>
      <rPr>
        <b/>
        <sz val="24"/>
        <rFont val="Calibri"/>
        <family val="2"/>
        <charset val="162"/>
        <scheme val="minor"/>
      </rPr>
      <t xml:space="preserve">GLASS SHELF CONSOLE  </t>
    </r>
    <r>
      <rPr>
        <sz val="24"/>
        <rFont val="Calibri"/>
        <family val="2"/>
        <charset val="162"/>
        <scheme val="minor"/>
      </rPr>
      <t xml:space="preserve">                                         300X500</t>
    </r>
  </si>
  <si>
    <r>
      <rPr>
        <b/>
        <sz val="24"/>
        <rFont val="Calibri"/>
        <family val="2"/>
        <charset val="162"/>
        <scheme val="minor"/>
      </rPr>
      <t xml:space="preserve">GLASS SHELF CONSOLE </t>
    </r>
    <r>
      <rPr>
        <sz val="24"/>
        <rFont val="Calibri"/>
        <family val="2"/>
        <charset val="162"/>
        <scheme val="minor"/>
      </rPr>
      <t xml:space="preserve">                                         200X500</t>
    </r>
  </si>
  <si>
    <r>
      <rPr>
        <b/>
        <sz val="24"/>
        <rFont val="Calibri"/>
        <family val="2"/>
        <charset val="162"/>
        <scheme val="minor"/>
      </rPr>
      <t>GLASS SHELF CONSOLE</t>
    </r>
    <r>
      <rPr>
        <sz val="24"/>
        <rFont val="Calibri"/>
        <family val="2"/>
        <charset val="162"/>
        <scheme val="minor"/>
      </rPr>
      <t xml:space="preserve">                                        200X700</t>
    </r>
  </si>
  <si>
    <t>prix</t>
  </si>
  <si>
    <t>Quantité</t>
  </si>
  <si>
    <t>QUANTITÉ</t>
  </si>
  <si>
    <t>K</t>
  </si>
  <si>
    <t>Tablettes extensibles sans trou 200</t>
  </si>
  <si>
    <t xml:space="preserve">Tablettes extensibles sans trou 300 </t>
  </si>
  <si>
    <t xml:space="preserve">Tablettes extensibles sans trou 400 </t>
  </si>
  <si>
    <t>Pied 400</t>
  </si>
  <si>
    <t>cache pied droit 400</t>
  </si>
  <si>
    <t>cache pied gauche 400</t>
  </si>
  <si>
    <t>Console 400</t>
  </si>
  <si>
    <r>
      <rPr>
        <b/>
        <sz val="24"/>
        <rFont val="Calibri"/>
        <family val="2"/>
        <charset val="162"/>
        <scheme val="minor"/>
      </rPr>
      <t>METAL STANDART BRACKET FLAT                                                                  4</t>
    </r>
    <r>
      <rPr>
        <sz val="24"/>
        <rFont val="Calibri"/>
        <family val="2"/>
        <charset val="162"/>
        <scheme val="minor"/>
      </rPr>
      <t xml:space="preserve">00 LÜK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</si>
  <si>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t xml:space="preserve">SHEET GONDOLA CAP FOR FOOT  
</t>
    </r>
    <r>
      <rPr>
        <b/>
        <sz val="24"/>
        <color rgb="FFFF0000"/>
        <rFont val="Calibri"/>
        <family val="2"/>
        <charset val="162"/>
        <scheme val="minor"/>
      </rPr>
      <t>RIGHT D:400</t>
    </r>
  </si>
  <si>
    <r>
      <t xml:space="preserve">SHEET GONDOLA CAP FOR FOOT  
</t>
    </r>
    <r>
      <rPr>
        <b/>
        <sz val="24"/>
        <color rgb="FFFF0000"/>
        <rFont val="Calibri"/>
        <family val="2"/>
        <charset val="162"/>
        <scheme val="minor"/>
      </rPr>
      <t>LEFT D:400</t>
    </r>
  </si>
  <si>
    <r>
      <t xml:space="preserve">LINEAIRE EXTENSIBLE
2200 x  400
Métal base + </t>
    </r>
    <r>
      <rPr>
        <sz val="24"/>
        <color rgb="FFFF0000"/>
        <rFont val="Calibri (Corps)"/>
      </rPr>
      <t>K</t>
    </r>
  </si>
  <si>
    <r>
      <t xml:space="preserve"> LINEAIRE EXTENSIBLE
2200 x 300
Métal base + </t>
    </r>
    <r>
      <rPr>
        <sz val="24"/>
        <color rgb="FFFF0000"/>
        <rFont val="Calibri (Corps)"/>
      </rPr>
      <t>K</t>
    </r>
  </si>
  <si>
    <r>
      <t xml:space="preserve">LINEAIRE EXTENSIBLE 
2200 x  200
métal base + </t>
    </r>
    <r>
      <rPr>
        <sz val="24"/>
        <color rgb="FFFF0000"/>
        <rFont val="Calibri (Corps)"/>
      </rPr>
      <t>K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</si>
  <si>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200X500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</si>
  <si>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200X700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</si>
  <si>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SLIDING SHELF </t>
    </r>
    <r>
      <rPr>
        <b/>
        <sz val="24"/>
        <color rgb="FFFF0000"/>
        <rFont val="Calibri"/>
        <family val="2"/>
        <charset val="162"/>
        <scheme val="minor"/>
      </rPr>
      <t>(WITHOUT HOLES)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2</t>
    </r>
    <r>
      <rPr>
        <sz val="24"/>
        <rFont val="Calibri"/>
        <family val="2"/>
        <charset val="162"/>
        <scheme val="minor"/>
      </rPr>
      <t xml:space="preserve">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</si>
  <si>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>METAL STANDART BRACKET FLAT                                                                  400</t>
    </r>
    <r>
      <rPr>
        <sz val="24"/>
        <rFont val="Calibri"/>
        <family val="2"/>
        <charset val="162"/>
        <scheme val="minor"/>
      </rPr>
      <t xml:space="preserve"> LÜK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</si>
  <si>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200X500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</si>
  <si>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200X700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</si>
  <si>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300X700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</si>
  <si>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300X500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</si>
  <si>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300X700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</si>
  <si>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400X700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</si>
  <si>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>METAL STANDART BRACKET FLAT                                                                  40</t>
    </r>
    <r>
      <rPr>
        <sz val="24"/>
        <rFont val="Calibri"/>
        <family val="2"/>
        <charset val="162"/>
        <scheme val="minor"/>
      </rPr>
      <t xml:space="preserve">0 LÜK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</si>
  <si>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Tablettes extensibles sans trou 200 X 700</t>
  </si>
  <si>
    <t>TOTAL COMMANDE</t>
  </si>
  <si>
    <t>MIDDLE COUNTER DESK-PERFORATED BACK PANEL                                                                            AND ACCESSORIES                                                                                                                         LxWxH: 53x5x90</t>
  </si>
  <si>
    <t>PANNEAU INTERCOMPTOIR PERFORÉ</t>
  </si>
  <si>
    <r>
      <t xml:space="preserve">MIDDLE COUNTER DESK 
</t>
    </r>
    <r>
      <rPr>
        <sz val="24"/>
        <rFont val="Calibri"/>
        <family val="2"/>
        <charset val="162"/>
        <scheme val="minor"/>
      </rPr>
      <t>30MM LACQUER WHITE MDF, BODY-DRAWERS 18MM LACQUER WHITE MDF, FRONT FACE 30MM SONOMA, TELESCOPIC RAIL DRAWERS, GxDxY: 53x60x107</t>
    </r>
    <r>
      <rPr>
        <b/>
        <sz val="24"/>
        <rFont val="Calibri"/>
        <family val="2"/>
        <charset val="162"/>
        <scheme val="minor"/>
      </rPr>
      <t xml:space="preserve"> </t>
    </r>
    <r>
      <rPr>
        <b/>
        <sz val="24"/>
        <color rgb="FFFF0000"/>
        <rFont val="Calibri"/>
        <family val="2"/>
        <charset val="162"/>
        <scheme val="minor"/>
      </rPr>
      <t>(DOUBLE SIDED CABLE HOLE OPENING, THERMICOUS CABLE</t>
    </r>
  </si>
  <si>
    <t>INTERCOMPTOIR</t>
  </si>
  <si>
    <t>SCREW AND SCREW CLOSER TAPE WILL BE GIVEN TO BIND THE COUNTER DESKS.</t>
  </si>
  <si>
    <t>COMPTOIR DROIT</t>
  </si>
  <si>
    <t>COMPTOIR GAUCHE</t>
  </si>
  <si>
    <t>TABLETTE PERFORÉE 
(SANS PORTE ETIQUETTE)
400 X 700</t>
  </si>
  <si>
    <r>
      <rPr>
        <b/>
        <sz val="24"/>
        <rFont val="Calibri"/>
        <family val="2"/>
        <charset val="162"/>
        <scheme val="minor"/>
      </rPr>
      <t>GLASS SEPERATOR APPARATUS-CORNER</t>
    </r>
    <r>
      <rPr>
        <sz val="24"/>
        <rFont val="Calibri"/>
        <family val="2"/>
        <charset val="162"/>
        <scheme val="minor"/>
      </rPr>
      <t xml:space="preserve">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</si>
  <si>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SEPARATEUR VERRE D'ANGLE</t>
  </si>
  <si>
    <r>
      <rPr>
        <b/>
        <sz val="24"/>
        <rFont val="Calibri"/>
        <family val="2"/>
        <charset val="162"/>
        <scheme val="minor"/>
      </rPr>
      <t>GLASS SEPERATOR APPARATUS-FLAT</t>
    </r>
    <r>
      <rPr>
        <sz val="24"/>
        <rFont val="Calibri"/>
        <family val="2"/>
        <charset val="162"/>
        <scheme val="minor"/>
      </rPr>
      <t xml:space="preserve">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</si>
  <si>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SEPARATEUR VERRE PLAT</t>
  </si>
  <si>
    <r>
      <t xml:space="preserve">SIDE GLASS SEPERATOR                                                             </t>
    </r>
    <r>
      <rPr>
        <sz val="24"/>
        <rFont val="Calibri"/>
        <family val="2"/>
        <charset val="162"/>
        <scheme val="minor"/>
      </rPr>
      <t xml:space="preserve"> 200X180 , 6MM TEMPERED GLASS</t>
    </r>
  </si>
  <si>
    <t>VERRE LATÉRAL
VERRE TREMPÉ 6MM
200 X 180</t>
  </si>
  <si>
    <r>
      <t xml:space="preserve">SIDE GLASS SEPERATOR                                                             </t>
    </r>
    <r>
      <rPr>
        <sz val="24"/>
        <rFont val="Calibri"/>
        <family val="2"/>
        <charset val="162"/>
        <scheme val="minor"/>
      </rPr>
      <t xml:space="preserve"> 300X180 , 6MM TEMPERED GLASS</t>
    </r>
  </si>
  <si>
    <t>VERRE LATÉRAL
VERRE TREMPÉ 6MM
300 X 180</t>
  </si>
  <si>
    <r>
      <t xml:space="preserve">FRONT WINDOW SEPERATOR                                                                </t>
    </r>
    <r>
      <rPr>
        <sz val="24"/>
        <rFont val="Calibri"/>
        <family val="2"/>
        <charset val="162"/>
        <scheme val="minor"/>
      </rPr>
      <t>L:700 H:100, 6MM TEMPERED GLASS</t>
    </r>
  </si>
  <si>
    <t>VERRE FRONTAL
VERRE TREMPÉ 6 MM
700 X 100</t>
  </si>
  <si>
    <r>
      <t xml:space="preserve">FRONT WINDOW SEPERATOR                                                                </t>
    </r>
    <r>
      <rPr>
        <sz val="24"/>
        <rFont val="Calibri"/>
        <family val="2"/>
        <charset val="162"/>
        <scheme val="minor"/>
      </rPr>
      <t>L:500 H:100, 6MM TEMPERED GLASS</t>
    </r>
  </si>
  <si>
    <t>VERRE FRONTAL
VERRE TREMPÉ 6 MM
500 X 100</t>
  </si>
  <si>
    <t>PROFILE 30x60 H:1800</t>
  </si>
  <si>
    <t>PROFILE 30x60 H:1600</t>
  </si>
  <si>
    <r>
      <t xml:space="preserve">PROFILE SHEET SIDE CLOSING                                                           </t>
    </r>
    <r>
      <rPr>
        <b/>
        <sz val="24"/>
        <color rgb="FFFF0000"/>
        <rFont val="Calibri"/>
        <family val="2"/>
        <charset val="162"/>
        <scheme val="minor"/>
      </rPr>
      <t>RIGHT</t>
    </r>
    <r>
      <rPr>
        <b/>
        <sz val="24"/>
        <rFont val="Calibri"/>
        <family val="2"/>
        <charset val="162"/>
        <scheme val="minor"/>
      </rPr>
      <t xml:space="preserve"> H:1800 D:60</t>
    </r>
  </si>
  <si>
    <r>
      <t xml:space="preserve">PROFILE SHEET SIDE CLOSING                                                          </t>
    </r>
    <r>
      <rPr>
        <b/>
        <sz val="24"/>
        <color rgb="FFFF0000"/>
        <rFont val="Calibri (Corps)"/>
      </rPr>
      <t xml:space="preserve"> LEFT </t>
    </r>
    <r>
      <rPr>
        <b/>
        <sz val="24"/>
        <rFont val="Calibri"/>
        <family val="2"/>
        <charset val="162"/>
        <scheme val="minor"/>
      </rPr>
      <t>H:1800 D:60</t>
    </r>
  </si>
  <si>
    <r>
      <t xml:space="preserve">PROFILE SHEET SIDE CLOSING                                                                    </t>
    </r>
    <r>
      <rPr>
        <b/>
        <sz val="24"/>
        <color rgb="FFFF0000"/>
        <rFont val="Calibri (Corps)"/>
      </rPr>
      <t xml:space="preserve">RIGHT </t>
    </r>
    <r>
      <rPr>
        <b/>
        <sz val="24"/>
        <rFont val="Calibri"/>
        <family val="2"/>
        <charset val="162"/>
        <scheme val="minor"/>
      </rPr>
      <t>H:1600 D:60</t>
    </r>
  </si>
  <si>
    <r>
      <t xml:space="preserve">PROFILE SHEET SIDE CLOSING                                                                    </t>
    </r>
    <r>
      <rPr>
        <b/>
        <sz val="24"/>
        <color rgb="FFFF0000"/>
        <rFont val="Calibri"/>
        <family val="2"/>
        <charset val="162"/>
        <scheme val="minor"/>
      </rPr>
      <t>LEFT</t>
    </r>
    <r>
      <rPr>
        <b/>
        <sz val="24"/>
        <rFont val="Calibri"/>
        <family val="2"/>
        <charset val="162"/>
        <scheme val="minor"/>
      </rPr>
      <t xml:space="preserve"> H:1600 D:60</t>
    </r>
  </si>
  <si>
    <t>SINGLE WIRE HOOK FOR CARRIER BAR WITH LABELED
(C.B. 15x30, Ø6- 300)                                                                         L:200</t>
  </si>
  <si>
    <t>BROCHE SIMPLE POUR BARRE DE CHARGE AVEC PORTE ÉTIQUETTE 
L 200</t>
  </si>
  <si>
    <t>SINGLE WIRE HOOK FOR CARRIER BAR WITH LABELED
(C.B. 15x30, Ø6- 300)                                                                         L:300</t>
  </si>
  <si>
    <t>BROCHE SIMPLE POUR BARRE DE CHARGE AVEC PORTE ÉTIQUETTE 
L 300</t>
  </si>
  <si>
    <t>SINGLE WIRE HOOK FOR CARRIER BAR WITH LABELED
(C.B. 15x30, Ø6- 300)                                                                         L:400</t>
  </si>
  <si>
    <t>BROCHE SIMPLE POUR BARRE DE CHARGE AVEC PORTE ÉTIQUETTE 
L 400</t>
  </si>
  <si>
    <t>WIRE HOCK/PERFORATED PANET WITH TICKET RAIL
L 200</t>
  </si>
  <si>
    <t>BARRE DE MAINTIEN 700</t>
  </si>
  <si>
    <t>MONTANT 1800</t>
  </si>
  <si>
    <t>MONTANT 1600</t>
  </si>
  <si>
    <t>Montant 1800</t>
  </si>
  <si>
    <t>Montant 1600</t>
  </si>
  <si>
    <t>Cache montant droit 1800</t>
  </si>
  <si>
    <t>cache montant gauche 1800</t>
  </si>
  <si>
    <t>Cache montant droit 1600</t>
  </si>
  <si>
    <t>cache montant gauche 1600</t>
  </si>
  <si>
    <r>
      <t xml:space="preserve">MIDDLE COUNTER DESK RIHGT MODULE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>30MM LACQUER WHITE MDF, BODY-DRAWERS 18MM LACQUER WHITE MDF, FRONT FACE 30MM SONOMA, TELESCOPIC RAIL DRAWERS, GxDxY:60x68x100</t>
    </r>
    <r>
      <rPr>
        <sz val="24"/>
        <color rgb="FFFF0000"/>
        <rFont val="Calibri"/>
        <family val="2"/>
        <charset val="162"/>
        <scheme val="minor"/>
      </rPr>
      <t xml:space="preserve"> </t>
    </r>
    <r>
      <rPr>
        <b/>
        <sz val="24"/>
        <color rgb="FFFF0000"/>
        <rFont val="Calibri"/>
        <family val="2"/>
        <charset val="162"/>
        <scheme val="minor"/>
      </rPr>
      <t xml:space="preserve"> (BENCH EDGE BAND SONOMA)</t>
    </r>
  </si>
  <si>
    <r>
      <t xml:space="preserve">MIDDLE COUNTER DESK LEFT MODULE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>30MM LACQUER WHITE MDF, BODY-DRAWERS 18MM LACQUER WHITE MDF, FRONT FACE 30MM SONOMA, TELESCOPIC RAIL DRAWERS, GxDxY:60x68x100</t>
    </r>
    <r>
      <rPr>
        <sz val="24"/>
        <color rgb="FFFF0000"/>
        <rFont val="Calibri"/>
        <family val="2"/>
        <charset val="162"/>
        <scheme val="minor"/>
      </rPr>
      <t xml:space="preserve"> </t>
    </r>
    <r>
      <rPr>
        <b/>
        <sz val="24"/>
        <color rgb="FFFF0000"/>
        <rFont val="Calibri"/>
        <family val="2"/>
        <charset val="162"/>
        <scheme val="minor"/>
      </rPr>
      <t xml:space="preserve"> (BENCH EDGE BAND SONOMA)</t>
    </r>
  </si>
  <si>
    <t>Tablette 300 x 700 perforée</t>
  </si>
  <si>
    <r>
      <rPr>
        <b/>
        <sz val="24"/>
        <rFont val="Calibri"/>
        <family val="2"/>
        <charset val="162"/>
        <scheme val="minor"/>
      </rPr>
      <t xml:space="preserve">PERFORATED 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(WITHOUT C LABELS)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</t>
    </r>
    <r>
      <rPr>
        <sz val="24"/>
        <rFont val="Calibri"/>
        <family val="2"/>
        <scheme val="minor"/>
      </rPr>
      <t xml:space="preserve">300X700   </t>
    </r>
    <r>
      <rPr>
        <sz val="24"/>
        <rFont val="Calibri"/>
        <family val="2"/>
        <charset val="162"/>
        <scheme val="minor"/>
      </rPr>
      <t xml:space="preserve">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</si>
  <si>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PERFORATED 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(WITHOUT C LABELS)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400X700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</si>
  <si>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PERFORATED 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(WITHOUT C LABELS)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</t>
    </r>
    <r>
      <rPr>
        <sz val="24"/>
        <rFont val="Calibri"/>
        <family val="2"/>
        <scheme val="minor"/>
      </rPr>
      <t>300X700</t>
    </r>
    <r>
      <rPr>
        <sz val="24"/>
        <rFont val="Calibri"/>
        <family val="2"/>
        <charset val="162"/>
        <scheme val="minor"/>
      </rPr>
      <t xml:space="preserve">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</si>
  <si>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r>
      <rPr>
        <b/>
        <sz val="24"/>
        <rFont val="Calibri"/>
        <family val="2"/>
        <charset val="162"/>
        <scheme val="minor"/>
      </rPr>
      <t xml:space="preserve">PERFORATED 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(WITHOUT C LABELS)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</t>
    </r>
    <r>
      <rPr>
        <sz val="24"/>
        <rFont val="Calibri"/>
        <family val="2"/>
        <scheme val="minor"/>
      </rPr>
      <t xml:space="preserve">300X700  </t>
    </r>
    <r>
      <rPr>
        <sz val="24"/>
        <rFont val="Calibri"/>
        <family val="2"/>
        <charset val="162"/>
        <scheme val="minor"/>
      </rPr>
      <t xml:space="preserve">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</si>
  <si>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LINEAIRE BEBE 
2200 x 700 x 300
Métal base +7</t>
  </si>
  <si>
    <t>4 PCS SCREWS WILL BE ADDED TO EACH PIECE TO FIX THE BACK PANEL 
4 vis devront être ajoutées pour une fixation sur les fonds</t>
  </si>
  <si>
    <t>LINEAIRE BEBE 
2200 x 700 x 400
Métal base +7</t>
  </si>
  <si>
    <t>LINEAIRE BEBE 
2200 x 500 x 400
Métal base +7</t>
  </si>
  <si>
    <r>
      <rPr>
        <b/>
        <sz val="24"/>
        <rFont val="Calibri"/>
        <family val="2"/>
        <charset val="162"/>
        <scheme val="minor"/>
      </rPr>
      <t xml:space="preserve">SHELF MONOBLOCK                                                                                                                                </t>
    </r>
    <r>
      <rPr>
        <sz val="24"/>
        <rFont val="Calibri"/>
        <family val="2"/>
        <charset val="162"/>
        <scheme val="minor"/>
      </rPr>
      <t xml:space="preserve">(WITHOUT C LABELS)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                                                                                                                                4</t>
    </r>
    <r>
      <rPr>
        <sz val="24"/>
        <rFont val="Calibri"/>
        <family val="2"/>
        <charset val="162"/>
        <scheme val="minor"/>
      </rPr>
      <t xml:space="preserve">00X500             </t>
    </r>
    <r>
      <rPr>
        <b/>
        <sz val="24"/>
        <rFont val="Calibri"/>
        <family val="2"/>
        <charset val="162"/>
        <scheme val="minor"/>
      </rPr>
      <t xml:space="preserve">                                                           </t>
    </r>
  </si>
  <si>
    <t>Tabette 400 x 500 
sans trou</t>
  </si>
  <si>
    <t>Tabette 300 x 500 
sans trou</t>
  </si>
  <si>
    <t>LINEAIRE BLANC 
2200 x 500 x 300
métal base + 9</t>
  </si>
  <si>
    <t>LINEAIRE BLANC
2200 x 500 x 200
métal base + 9</t>
  </si>
  <si>
    <t xml:space="preserve"> SUITE LINEAIRE BLANC
2200 x 700 x 200
métal base + 9</t>
  </si>
  <si>
    <t>LINEAIRE BLANC 
2200 x 700 x 200
métal base + 9</t>
  </si>
  <si>
    <t xml:space="preserve"> SUITE LINEAIRE BLANC
2200 x 700 x 300
Métal base + 9</t>
  </si>
  <si>
    <t>LINEAIRE BLANC
2200 x 700 x 300
Métal base + 9</t>
  </si>
  <si>
    <t>LINEAIRE BlANC
2200 x 700 x 400
Métal base + 9</t>
  </si>
  <si>
    <t xml:space="preserve"> SUITE LINEAIRE BLANC
2200 x 700 x 400
Métal base + 9</t>
  </si>
  <si>
    <t>LINEAIRE BLANC
2200 x 500 x 400
Métal base + 9</t>
  </si>
  <si>
    <t xml:space="preserve"> SUITE LINEAIRE BEBE
2200 x 700 x 400
Métal base +7</t>
  </si>
  <si>
    <t xml:space="preserve"> SUITE LINEAIRE BEBE
2200 x 700 x 300
Métal base +7</t>
  </si>
  <si>
    <t>LINEAIRE BEBE
2200 x 500 x 300
métal base +7</t>
  </si>
  <si>
    <t>GREY RAL 7021</t>
  </si>
  <si>
    <t>WHITE RAL 9003</t>
  </si>
  <si>
    <t>GONDOLE DOUBLE FACE
BASE + 6
1400 X 700 X 300</t>
  </si>
  <si>
    <t>SUITE GONDOLE DOUBLE FACE
BASE + 6
1400 X 700 X 300</t>
  </si>
  <si>
    <t>GONDOLE DOUBLE FACE
BASE + 6
1400 X 700 X 200</t>
  </si>
  <si>
    <t>SUITE GONDOLE DOUBLE FACE
BASE + 6
1400 X 700 X 200</t>
  </si>
  <si>
    <t>GONDOLE DOUBLE FACE
BASE + 7
1600 X 700 X 300</t>
  </si>
  <si>
    <t>SUITE GONDOLE DOUBLE FACE
BASE + 7
1600 X 700 X 300</t>
  </si>
  <si>
    <t>GONDOLE DOUBLE FACE
BASE + 7
1600 X 700 X 200</t>
  </si>
  <si>
    <t>SUITE GONDOLE DOUBLE FACE
BASE + 7
1600 X 700 X 200</t>
  </si>
  <si>
    <t>GONDOLE DOUBLE FACE
BASE + 8
1800 X 700 X 300</t>
  </si>
  <si>
    <t>SUITE GONDOLE DOUBLE FACE
BASE + 8
1800 X 700 X 300</t>
  </si>
  <si>
    <t>GONDOLE DOUBLE FACE
BASE + 8
1800 X 700 X 200</t>
  </si>
  <si>
    <t>SUITE GONDOLE DOUBLE FACE
BASE + 8
1800 X 700 X 200</t>
  </si>
  <si>
    <t xml:space="preserve"> GONDOLE DOUBLE FACE
BASE + 8
1800 X 500 X 300</t>
  </si>
  <si>
    <t xml:space="preserve"> GONDOLE DOUBLE FACE
BASE + 8
1800 X 500 X 200</t>
  </si>
  <si>
    <t xml:space="preserve"> GONDOLE DOUBLE FACE
BASE + 6
1400 X 500 X 300</t>
  </si>
  <si>
    <t xml:space="preserve"> GONDOLE DOUBLE FACE
BASE + 6
1400 X 500 X 200</t>
  </si>
  <si>
    <t xml:space="preserve"> GONDOLE DOUBLE FACE
BASE + 7
1600 X 500 X 300</t>
  </si>
  <si>
    <t xml:space="preserve"> GONDOLE DOUBLE FACE
BASE + 7
1600 X 500 X 200</t>
  </si>
  <si>
    <t>GONDOLE SIMPLE
BASE + 6
1400 X 700 X 300</t>
  </si>
  <si>
    <t xml:space="preserve"> GONDOLE SIMPLE
BASE + 6
1400 X 500 X 300</t>
  </si>
  <si>
    <t>GONDOLE SIMPLE
BASE + 6
1400 X 700 X 200</t>
  </si>
  <si>
    <t xml:space="preserve"> GONDOLE SIMPLE
BASE + 6
1400 X 500 X 200</t>
  </si>
  <si>
    <t>GONDOLE SIMPLE
BASE + 7
1600 X 700 X 300</t>
  </si>
  <si>
    <t xml:space="preserve"> GONDOLE SIMPLE
BASE + 7
1600 X 500 X 300</t>
  </si>
  <si>
    <t>GONDOLE SIMPLE
BASE + 7
1600 X 700 X 200</t>
  </si>
  <si>
    <t xml:space="preserve"> GONDOLE SIMPLE
BASE + 7
1600 X 500 X 200</t>
  </si>
  <si>
    <t>GONDOLE SIMPLE
BASE + 8
1800 X 700 X 300</t>
  </si>
  <si>
    <t xml:space="preserve"> GONDOLE SIMPLE
BASE + 8
1800 X 500 X 300</t>
  </si>
  <si>
    <t>GONDOLE SIMPLE
BASE + 8
1800 X 700 X 200</t>
  </si>
  <si>
    <t xml:space="preserve"> GONDOLE SIMPLE
BASE + 8
1800 X 500 X 200</t>
  </si>
  <si>
    <t>Cache pied gauche 300</t>
  </si>
  <si>
    <t>Cache pied gauche 400</t>
  </si>
  <si>
    <t>BROCHE POUR PANNEAU PERFORÉ AVEC PORTE ÉTIQUETTE
L 200</t>
  </si>
  <si>
    <t>barre de maintien 700</t>
  </si>
  <si>
    <t>barre de maintien700</t>
  </si>
  <si>
    <t>Barre de maintien 700</t>
  </si>
  <si>
    <t>Barre de maintien700</t>
  </si>
  <si>
    <t>BROCHE  POUR PANNEAU PERFORÉ AVEC PORTE ÉTIQUETTE
L 200</t>
  </si>
  <si>
    <t>SUITE  GONDOLE SIMPLE
BASE + 6
1400 X 700 X 300</t>
  </si>
  <si>
    <t>SUITE GONDOLE SIMPLE
BASE + 6
1400 X 700 X 200</t>
  </si>
  <si>
    <t>SUITE  GONDOLE SIMPLE
BASE + 7
1600 X 700 X 300</t>
  </si>
  <si>
    <t>SUITE GONDOLE SIMPLE
BASE + 7
1600 X 700 X 200</t>
  </si>
  <si>
    <t>SUITE GONDOLE SIMPLE
BASE + 8
1800 X 700 X 300</t>
  </si>
  <si>
    <t>SUITE GONDOLE SIMPLE
BASE + 8
1800 X 700 X 200</t>
  </si>
  <si>
    <t xml:space="preserve"> SUITE GONDOLE SIMPLE
BASE + 6
1400 X 700 X 300</t>
  </si>
  <si>
    <t xml:space="preserve"> SUITE GONDOLE SIMPLE
BASE + 7
1600 X 700 X 300</t>
  </si>
  <si>
    <t>LINEAIRE 
2200 x 700 x 300
verre base +8</t>
  </si>
  <si>
    <t xml:space="preserve"> SUITE LINEAIRE  
2200 x 700 x 300
verre base +8</t>
  </si>
  <si>
    <t>LINEAIRE  
2200 x 700 x 200
verre base +8</t>
  </si>
  <si>
    <t xml:space="preserve"> SUITE LINEAIRE 
2200 x 700 x 200
verre base +8</t>
  </si>
  <si>
    <t>LINEAIRE 
2200 x 500 x 200
verre base +8</t>
  </si>
  <si>
    <t>LINEAIRE  
2200 x 500 x 300
verre base +8</t>
  </si>
  <si>
    <t>LINEAIRE 
2200 x 700 x 300
verre base +9</t>
  </si>
  <si>
    <t xml:space="preserve"> SUITE LINEAIRE  
2200 x 700 x 300
verre base +9</t>
  </si>
  <si>
    <t>LINEAIRE 
2200 x 700 x 200
verre base +9</t>
  </si>
  <si>
    <t xml:space="preserve"> SUITE LINEAIRE 
2200 x 700 x 200
verre base +9</t>
  </si>
  <si>
    <t>LINEAIRE 
2200 x 500 x 200
verre base +9</t>
  </si>
  <si>
    <t>LINEAIRE  
2200 x 500 x 300
verre base + 9</t>
  </si>
  <si>
    <t>LINEAIRE  
2200 x 700 x 300
Métal base +7</t>
  </si>
  <si>
    <t xml:space="preserve"> SUITE LINEAIRE  
2200 x 700 x 300
Métal base +7</t>
  </si>
  <si>
    <t>LINEAIRE  
2200 x 700 x 200
métal base +7</t>
  </si>
  <si>
    <t xml:space="preserve"> SUITE LINEAIRE  
2200 x 700 x 200
métal base +7</t>
  </si>
  <si>
    <t>LINEAIRE  
2200 x 500 x 200
métal base +7</t>
  </si>
  <si>
    <t>LINEAIRE  
2200 x 500 x 300
métal base +7</t>
  </si>
  <si>
    <t>LINEAIRE  
2200 x 700 x 300
Métal base +8</t>
  </si>
  <si>
    <t xml:space="preserve"> SUITE LINEAIRE  
2200 x 700 x 300
Métal base +8</t>
  </si>
  <si>
    <t>LINEAIRE  
2200 x 700 x 200
métal base +8</t>
  </si>
  <si>
    <t xml:space="preserve"> SUITE LINEAIRE  
2200 x 700 x 200
métal base +8</t>
  </si>
  <si>
    <t>LINEAIRE 
2200 x 500 x 200
métal base +8</t>
  </si>
  <si>
    <t>LINEAIRE 
2200 x 500 x 300
métal base +8</t>
  </si>
  <si>
    <t>LINEAIRE  
2200 x 700 x 300
Métal base + 9</t>
  </si>
  <si>
    <t xml:space="preserve"> SUITE LINEAIRE 
2200 x 700 x 300
Métal base + 9</t>
  </si>
  <si>
    <t>LINEAIRE 
2200 x 700 x 200
métal base + 9</t>
  </si>
  <si>
    <t xml:space="preserve"> SUITE LINEAIRE  
2200 x 700 x 200
métal base + 9</t>
  </si>
  <si>
    <t>LINEAIRE  
2200 x 500 x 200
métal base + 9</t>
  </si>
  <si>
    <t>LINEAIRE  
2200 x 500 x 300
métal base + 9</t>
  </si>
  <si>
    <t>GONDOLE SIMPLE
BASE + 8
1800 X 700 X 400</t>
  </si>
  <si>
    <t>BAC SOLDEUR
700 X 400</t>
  </si>
  <si>
    <t>BAC SOLDEUR
700 X 300</t>
  </si>
  <si>
    <t>BAC SOLDEUR
700 X 200</t>
  </si>
  <si>
    <t>Tabette 400 x 700 pour bacs soldeurs</t>
  </si>
  <si>
    <t>Tabette 200 x 500 pour bacs soldeurs</t>
  </si>
  <si>
    <t>Tabette 300 x 500 pour bacs soldeurs</t>
  </si>
  <si>
    <t>Tabette 400 x 500 pour bacs soldeurs</t>
  </si>
  <si>
    <t xml:space="preserve">SHELF MONOBLOCK                                                                                                                                (WITHOUT C LABELS) 
400 X 700                                                                                             </t>
  </si>
  <si>
    <t xml:space="preserve">SHELF MONOBLOCK                                                                                                                                (WITHOUT C LABELS) 
200 X 500                                                                                             </t>
  </si>
  <si>
    <t xml:space="preserve">SHELF MONOBLOCK                                                                                                                                (WITHOUT C LABELS) 
300 X 500                                                                                             </t>
  </si>
  <si>
    <t xml:space="preserve">SHELF MONOBLOCK                                                                                                                                (WITHOUT C LABELS) 
400 X 500                                                                                             </t>
  </si>
  <si>
    <r>
      <t xml:space="preserve">FRONT WINDOW SEPERATOR                                                                </t>
    </r>
    <r>
      <rPr>
        <sz val="24"/>
        <rFont val="Calibri (Corps)"/>
      </rPr>
      <t>L:500 H:100, 6MM TEMPERED GLASS</t>
    </r>
  </si>
  <si>
    <r>
      <t xml:space="preserve">SIDE GLASS SEPERATOR                                                             </t>
    </r>
    <r>
      <rPr>
        <sz val="24"/>
        <rFont val="Calibri"/>
        <family val="2"/>
        <charset val="162"/>
        <scheme val="minor"/>
      </rPr>
      <t xml:space="preserve"> 400X180 , 6MM TEMPERED GLASS</t>
    </r>
  </si>
  <si>
    <r>
      <t xml:space="preserve">SIDE GLASS SEPERATOR                                                             </t>
    </r>
    <r>
      <rPr>
        <sz val="24"/>
        <rFont val="Calibri (Corps)"/>
      </rPr>
      <t xml:space="preserve"> 400X180 , 6MM TEMPERED GLASS</t>
    </r>
  </si>
  <si>
    <t>VERRE LATÉRAL
VERRE TREMPÉ 6MM
400 X 180</t>
  </si>
  <si>
    <r>
      <t xml:space="preserve">SIDE GLASS SEPERATOR                                                             </t>
    </r>
    <r>
      <rPr>
        <sz val="24"/>
        <rFont val="Calibri (Corps)"/>
      </rPr>
      <t xml:space="preserve"> 300X180 , 6MM TEMPERED GLASS</t>
    </r>
  </si>
  <si>
    <t>BAC SOLDEUR
500 X 400</t>
  </si>
  <si>
    <t>BAC SOLDEUR
500 X 300</t>
  </si>
  <si>
    <t>BAC SOLDEUR
500 X 200</t>
  </si>
  <si>
    <t xml:space="preserve"> </t>
  </si>
  <si>
    <t>Prix de vente unitaire  HT</t>
  </si>
  <si>
    <t xml:space="preserve">Total prix d'achat </t>
  </si>
  <si>
    <t>Total prix de vente</t>
  </si>
  <si>
    <t>Total</t>
  </si>
  <si>
    <r>
      <t xml:space="preserve">LINEAIRE BEBE 
2200 x 700 x 300
Métal base +7
</t>
    </r>
    <r>
      <rPr>
        <sz val="24"/>
        <color theme="5"/>
        <rFont val="Calibri (Corps)"/>
      </rPr>
      <t>2 tablettes inclinables</t>
    </r>
  </si>
  <si>
    <r>
      <t xml:space="preserve">SUITE LINEAIRE BEBE 
2200 x 700 x 300
Métal base +7
</t>
    </r>
    <r>
      <rPr>
        <sz val="24"/>
        <color theme="5"/>
        <rFont val="Calibri (Corps)"/>
      </rPr>
      <t>2 tablettes inclinables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</si>
</sst>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4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24"/>
      <name val="Calibri"/>
      <family val="2"/>
      <charset val="162"/>
      <scheme val="minor"/>
    </font>
    <font>
      <sz val="24"/>
      <name val="Calibri"/>
      <family val="2"/>
      <charset val="162"/>
      <scheme val="minor"/>
    </font>
    <font>
      <b/>
      <sz val="24"/>
      <color rgb="FFFF0000"/>
      <name val="Calibri"/>
      <family val="2"/>
      <charset val="162"/>
      <scheme val="minor"/>
    </font>
    <font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color theme="1"/>
      <name val="Calibri (Corps)"/>
    </font>
    <font>
      <sz val="36"/>
      <color rgb="FFFF0000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sz val="24"/>
      <color theme="1"/>
      <name val="Calibri (Corps)"/>
    </font>
    <font>
      <sz val="24"/>
      <color rgb="FF333399"/>
      <name val="Calibri (Corps)"/>
    </font>
    <font>
      <sz val="24"/>
      <color rgb="FFFF0000"/>
      <name val="Calibri (Corps)"/>
    </font>
    <font>
      <sz val="24"/>
      <color rgb="FFFF0000"/>
      <name val="Calibri"/>
      <family val="2"/>
      <scheme val="minor"/>
    </font>
    <font>
      <b/>
      <sz val="24"/>
      <color rgb="FFFF0000"/>
      <name val="Calibri (Corps)"/>
    </font>
    <font>
      <sz val="24"/>
      <color rgb="FFFF0000"/>
      <name val="Calibri"/>
      <family val="2"/>
      <charset val="162"/>
      <scheme val="minor"/>
    </font>
    <font>
      <sz val="24"/>
      <name val="Calibri"/>
      <family val="2"/>
      <scheme val="minor"/>
    </font>
    <font>
      <sz val="8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24"/>
      <color rgb="FF002060"/>
      <name val="Calibri"/>
      <family val="2"/>
      <scheme val="minor"/>
    </font>
    <font>
      <sz val="24"/>
      <color rgb="FF002060"/>
      <name val="Calibri (Corps)"/>
    </font>
    <font>
      <sz val="36"/>
      <color rgb="FF002060"/>
      <name val="Calibri"/>
      <family val="2"/>
      <scheme val="minor"/>
    </font>
    <font>
      <sz val="24"/>
      <name val="Calibri (Corps)"/>
    </font>
    <font>
      <b/>
      <sz val="24"/>
      <name val="Calibri (Corps)"/>
    </font>
    <font>
      <sz val="24"/>
      <color theme="5"/>
      <name val="Calibri (Corps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>
      <alignment horizontal="center"/>
    </xf>
  </cellStyleXfs>
  <cellXfs count="81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0" borderId="0" xfId="0" applyFont="1"/>
    <xf numFmtId="0" fontId="11" fillId="0" borderId="0" xfId="0" applyFont="1"/>
    <xf numFmtId="0" fontId="18" fillId="0" borderId="0" xfId="0" applyFont="1" applyAlignment="1">
      <alignment horizontal="center" vertical="center"/>
    </xf>
    <xf numFmtId="0" fontId="13" fillId="0" borderId="0" xfId="0" applyFont="1"/>
    <xf numFmtId="49" fontId="6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65" fontId="8" fillId="0" borderId="0" xfId="0" applyNumberFormat="1" applyFont="1"/>
    <xf numFmtId="0" fontId="8" fillId="0" borderId="0" xfId="0" quotePrefix="1" applyFont="1"/>
    <xf numFmtId="49" fontId="5" fillId="0" borderId="1" xfId="2" applyNumberFormat="1" applyFont="1" applyBorder="1" applyAlignment="1">
      <alignment horizontal="center" vertical="center" wrapText="1"/>
    </xf>
    <xf numFmtId="49" fontId="5" fillId="0" borderId="2" xfId="2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14" fillId="0" borderId="0" xfId="2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15" fillId="0" borderId="0" xfId="1" applyNumberFormat="1" applyFont="1" applyFill="1" applyBorder="1" applyAlignment="1">
      <alignment horizontal="center" vertical="center"/>
    </xf>
    <xf numFmtId="0" fontId="11" fillId="0" borderId="0" xfId="0" quotePrefix="1" applyFont="1"/>
    <xf numFmtId="0" fontId="12" fillId="0" borderId="0" xfId="0" applyFont="1"/>
    <xf numFmtId="165" fontId="11" fillId="0" borderId="0" xfId="0" applyNumberFormat="1" applyFont="1"/>
    <xf numFmtId="165" fontId="13" fillId="0" borderId="0" xfId="0" applyNumberFormat="1" applyFont="1"/>
    <xf numFmtId="0" fontId="19" fillId="0" borderId="0" xfId="0" applyFont="1" applyAlignment="1">
      <alignment horizontal="center" vertical="center"/>
    </xf>
    <xf numFmtId="165" fontId="16" fillId="0" borderId="0" xfId="0" applyNumberFormat="1" applyFont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9" fillId="0" borderId="0" xfId="0" applyFont="1"/>
    <xf numFmtId="165" fontId="19" fillId="0" borderId="0" xfId="0" applyNumberFormat="1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1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6" fillId="0" borderId="1" xfId="0" applyFont="1" applyBorder="1"/>
    <xf numFmtId="165" fontId="8" fillId="0" borderId="1" xfId="0" applyNumberFormat="1" applyFont="1" applyBorder="1"/>
    <xf numFmtId="0" fontId="8" fillId="0" borderId="1" xfId="0" quotePrefix="1" applyFont="1" applyBorder="1"/>
    <xf numFmtId="0" fontId="8" fillId="0" borderId="1" xfId="0" applyFont="1" applyBorder="1"/>
    <xf numFmtId="0" fontId="19" fillId="0" borderId="1" xfId="0" applyFont="1" applyBorder="1"/>
    <xf numFmtId="165" fontId="19" fillId="0" borderId="1" xfId="0" applyNumberFormat="1" applyFont="1" applyBorder="1"/>
    <xf numFmtId="165" fontId="11" fillId="0" borderId="1" xfId="0" applyNumberFormat="1" applyFont="1" applyBorder="1"/>
    <xf numFmtId="0" fontId="0" fillId="0" borderId="1" xfId="0" applyBorder="1"/>
    <xf numFmtId="49" fontId="5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8" fillId="0" borderId="0" xfId="1" applyNumberFormat="1" applyFont="1" applyFill="1" applyBorder="1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165" fontId="19" fillId="0" borderId="0" xfId="0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right" vertical="center" wrapText="1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 wrapText="1"/>
    </xf>
    <xf numFmtId="0" fontId="26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29" fillId="0" borderId="1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</cellXfs>
  <cellStyles count="3">
    <cellStyle name="Normal" xfId="0" builtinId="0"/>
    <cellStyle name="Normal_section 01" xfId="2" xr:uid="{212C2951-111D-BF45-B877-687AFE14B308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86C0-0D1A-7C4A-ABC5-693632B92F77}">
  <dimension ref="A1:AT90"/>
  <sheetViews>
    <sheetView topLeftCell="O1" zoomScale="75" zoomScaleNormal="75" workbookViewId="0">
      <selection activeCell="O4" sqref="O4"/>
    </sheetView>
  </sheetViews>
  <sheetFormatPr baseColWidth="10" defaultRowHeight="31" x14ac:dyDescent="0.35"/>
  <cols>
    <col min="1" max="1" width="52.5" hidden="1" customWidth="1"/>
    <col min="2" max="2" width="59" hidden="1" customWidth="1"/>
    <col min="3" max="3" width="44.83203125" hidden="1" customWidth="1"/>
    <col min="4" max="4" width="68.33203125" hidden="1" customWidth="1"/>
    <col min="5" max="5" width="22" hidden="1" customWidth="1"/>
    <col min="6" max="10" width="0.1640625" hidden="1" customWidth="1"/>
    <col min="11" max="11" width="68.33203125" hidden="1" customWidth="1"/>
    <col min="12" max="12" width="1.1640625" hidden="1" customWidth="1"/>
    <col min="13" max="13" width="21.5" hidden="1" customWidth="1"/>
    <col min="14" max="14" width="22" hidden="1" customWidth="1"/>
    <col min="15" max="15" width="49.5" style="61" customWidth="1"/>
    <col min="16" max="16" width="41.6640625" style="61" customWidth="1"/>
  </cols>
  <sheetData>
    <row r="1" spans="1:16" ht="64" x14ac:dyDescent="0.35">
      <c r="A1" s="2" t="s">
        <v>88</v>
      </c>
      <c r="B1" s="2" t="s">
        <v>89</v>
      </c>
      <c r="C1" s="3" t="s">
        <v>86</v>
      </c>
      <c r="D1" s="3" t="s">
        <v>87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x14ac:dyDescent="0.35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80" t="s">
        <v>153</v>
      </c>
      <c r="P2" s="80"/>
    </row>
    <row r="3" spans="1:16" x14ac:dyDescent="0.3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1" t="s">
        <v>222</v>
      </c>
      <c r="P3" s="61" t="s">
        <v>223</v>
      </c>
    </row>
    <row r="4" spans="1:16" ht="64" x14ac:dyDescent="0.35">
      <c r="A4" s="9" t="s">
        <v>108</v>
      </c>
      <c r="B4" s="9" t="s">
        <v>42</v>
      </c>
      <c r="C4" s="10"/>
      <c r="D4" s="11">
        <v>3.2071200000000002</v>
      </c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6" ht="64" x14ac:dyDescent="0.35">
      <c r="A5" s="9" t="s">
        <v>109</v>
      </c>
      <c r="B5" s="9" t="s">
        <v>43</v>
      </c>
      <c r="C5" s="10"/>
      <c r="D5" s="11">
        <v>4.1087199999999999</v>
      </c>
      <c r="E5" s="66"/>
      <c r="F5" s="66"/>
      <c r="G5" s="66"/>
      <c r="H5" s="66"/>
      <c r="I5" s="66"/>
      <c r="J5" s="66"/>
      <c r="K5" s="66"/>
      <c r="L5" s="66"/>
      <c r="M5" s="66"/>
      <c r="N5" s="66"/>
    </row>
    <row r="6" spans="1:16" ht="64" x14ac:dyDescent="0.35">
      <c r="A6" s="9" t="s">
        <v>110</v>
      </c>
      <c r="B6" s="9" t="s">
        <v>44</v>
      </c>
      <c r="C6" s="10"/>
      <c r="D6" s="11">
        <v>3.47</v>
      </c>
      <c r="E6" s="66"/>
      <c r="F6" s="66"/>
      <c r="G6" s="66"/>
      <c r="H6" s="66"/>
      <c r="I6" s="66"/>
      <c r="J6" s="66"/>
      <c r="K6" s="66"/>
      <c r="L6" s="66"/>
      <c r="M6" s="66"/>
      <c r="N6" s="66"/>
    </row>
    <row r="7" spans="1:16" ht="64" x14ac:dyDescent="0.35">
      <c r="A7" s="9" t="s">
        <v>111</v>
      </c>
      <c r="B7" s="9" t="s">
        <v>45</v>
      </c>
      <c r="C7" s="10"/>
      <c r="D7" s="11">
        <v>4.2699999999999996</v>
      </c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1:16" ht="64" x14ac:dyDescent="0.35">
      <c r="A8" s="9" t="s">
        <v>112</v>
      </c>
      <c r="B8" s="9" t="s">
        <v>46</v>
      </c>
      <c r="C8" s="10"/>
      <c r="D8" s="11">
        <v>6.23</v>
      </c>
      <c r="E8" s="66"/>
      <c r="F8" s="66"/>
      <c r="G8" s="66"/>
      <c r="H8" s="66"/>
      <c r="I8" s="66"/>
      <c r="J8" s="66"/>
      <c r="K8" s="66"/>
      <c r="L8" s="66"/>
      <c r="M8" s="66"/>
      <c r="N8" s="66"/>
    </row>
    <row r="9" spans="1:16" ht="64" x14ac:dyDescent="0.35">
      <c r="A9" s="9" t="s">
        <v>113</v>
      </c>
      <c r="B9" s="9" t="s">
        <v>47</v>
      </c>
      <c r="C9" s="10"/>
      <c r="D9" s="11">
        <v>7.6579999999999995</v>
      </c>
      <c r="E9" s="66"/>
      <c r="F9" s="66"/>
      <c r="G9" s="66"/>
      <c r="H9" s="66"/>
      <c r="I9" s="66"/>
      <c r="J9" s="66"/>
      <c r="K9" s="66"/>
      <c r="L9" s="66"/>
      <c r="M9" s="66"/>
      <c r="N9" s="66"/>
    </row>
    <row r="10" spans="1:16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</row>
    <row r="11" spans="1:16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</row>
    <row r="12" spans="1:16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</row>
    <row r="13" spans="1:16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</row>
    <row r="14" spans="1:16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6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</row>
    <row r="16" spans="1:16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</row>
    <row r="17" spans="1:46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</row>
    <row r="18" spans="1:46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</row>
    <row r="19" spans="1:46" ht="83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</row>
    <row r="20" spans="1:46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</row>
    <row r="21" spans="1:46" ht="96" x14ac:dyDescent="0.2">
      <c r="A21" s="9" t="s">
        <v>5</v>
      </c>
      <c r="B21" s="9" t="s">
        <v>53</v>
      </c>
      <c r="C21" s="10" t="s">
        <v>90</v>
      </c>
      <c r="D21" s="11">
        <v>5.3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spans="1:46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46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</row>
    <row r="24" spans="1:46" ht="64" x14ac:dyDescent="0.2">
      <c r="A24" s="9" t="s">
        <v>162</v>
      </c>
      <c r="B24" s="9" t="s">
        <v>163</v>
      </c>
      <c r="C24" s="10"/>
      <c r="D24" s="11">
        <v>0.24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</row>
    <row r="25" spans="1:46" ht="64" x14ac:dyDescent="0.2">
      <c r="A25" s="9" t="s">
        <v>164</v>
      </c>
      <c r="B25" s="9" t="s">
        <v>165</v>
      </c>
      <c r="C25" s="10"/>
      <c r="D25" s="11">
        <v>0.17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</row>
    <row r="26" spans="1:46" ht="96" x14ac:dyDescent="0.2">
      <c r="A26" s="14" t="s">
        <v>166</v>
      </c>
      <c r="B26" s="14" t="s">
        <v>167</v>
      </c>
      <c r="C26" s="10"/>
      <c r="D26" s="11">
        <v>7.2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</row>
    <row r="27" spans="1:46" ht="96" x14ac:dyDescent="0.2">
      <c r="A27" s="78" t="s">
        <v>316</v>
      </c>
      <c r="B27" s="14" t="s">
        <v>169</v>
      </c>
      <c r="C27" s="10"/>
      <c r="D27" s="11">
        <v>7.2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</row>
    <row r="28" spans="1:46" ht="96" x14ac:dyDescent="0.2">
      <c r="A28" s="78" t="s">
        <v>314</v>
      </c>
      <c r="B28" s="14" t="s">
        <v>315</v>
      </c>
      <c r="C28" s="10"/>
      <c r="D28" s="11">
        <v>7.2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</row>
    <row r="29" spans="1:46" ht="145" customHeight="1" x14ac:dyDescent="0.2">
      <c r="A29" s="14" t="s">
        <v>170</v>
      </c>
      <c r="B29" s="14" t="s">
        <v>171</v>
      </c>
      <c r="C29" s="10"/>
      <c r="D29" s="11">
        <v>7.2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</row>
    <row r="30" spans="1:46" ht="145" customHeight="1" x14ac:dyDescent="0.2">
      <c r="A30" s="78" t="s">
        <v>312</v>
      </c>
      <c r="B30" s="14" t="s">
        <v>173</v>
      </c>
      <c r="C30" s="10"/>
      <c r="D30" s="11">
        <v>7.2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</row>
    <row r="31" spans="1:46" ht="134" customHeight="1" x14ac:dyDescent="0.2">
      <c r="A31" s="14" t="s">
        <v>172</v>
      </c>
      <c r="B31" s="14" t="s">
        <v>173</v>
      </c>
      <c r="C31" s="10"/>
      <c r="D31" s="11">
        <v>7.2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</row>
    <row r="32" spans="1:46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</row>
    <row r="33" spans="1:14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</row>
    <row r="34" spans="1:14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</row>
    <row r="35" spans="1:14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</row>
    <row r="36" spans="1:14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</row>
    <row r="37" spans="1:14" ht="96" x14ac:dyDescent="0.2">
      <c r="A37" s="9" t="s">
        <v>143</v>
      </c>
      <c r="B37" s="9" t="s">
        <v>152</v>
      </c>
      <c r="C37" s="10" t="s">
        <v>9</v>
      </c>
      <c r="D37" s="11">
        <v>6.6220000000000008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</row>
    <row r="38" spans="1:14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1:14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</row>
    <row r="40" spans="1:14" ht="64" x14ac:dyDescent="0.2">
      <c r="A40" s="9" t="s">
        <v>117</v>
      </c>
      <c r="B40" s="9" t="s">
        <v>98</v>
      </c>
      <c r="C40" s="10" t="s">
        <v>9</v>
      </c>
      <c r="D40" s="11">
        <v>7.22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</row>
    <row r="41" spans="1:14" ht="96" x14ac:dyDescent="0.2">
      <c r="A41" s="9" t="s">
        <v>11</v>
      </c>
      <c r="B41" s="9" t="s">
        <v>57</v>
      </c>
      <c r="C41" s="10" t="s">
        <v>9</v>
      </c>
      <c r="D41" s="11">
        <v>5.16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</row>
    <row r="42" spans="1:14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</row>
    <row r="43" spans="1:14" ht="64" x14ac:dyDescent="0.2">
      <c r="A43" s="9" t="s">
        <v>115</v>
      </c>
      <c r="B43" s="9" t="s">
        <v>58</v>
      </c>
      <c r="C43" s="10" t="s">
        <v>9</v>
      </c>
      <c r="D43" s="11">
        <v>7.22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</row>
    <row r="44" spans="1:14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</row>
    <row r="45" spans="1:14" ht="96" x14ac:dyDescent="0.2">
      <c r="A45" s="9" t="s">
        <v>13</v>
      </c>
      <c r="B45" s="9" t="s">
        <v>60</v>
      </c>
      <c r="C45" s="10"/>
      <c r="D45" s="11">
        <v>0.73</v>
      </c>
      <c r="E45" s="66"/>
      <c r="F45" s="66"/>
      <c r="G45" s="66"/>
      <c r="H45" s="66"/>
      <c r="I45" s="66"/>
      <c r="J45" s="66"/>
      <c r="K45" s="66"/>
      <c r="L45" s="66"/>
      <c r="M45" s="66"/>
      <c r="N45" s="66"/>
    </row>
    <row r="46" spans="1:14" ht="96" x14ac:dyDescent="0.2">
      <c r="A46" s="9" t="s">
        <v>135</v>
      </c>
      <c r="B46" s="9" t="s">
        <v>134</v>
      </c>
      <c r="C46" s="10"/>
      <c r="D46" s="11">
        <v>0.73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</row>
    <row r="47" spans="1:14" ht="96" x14ac:dyDescent="0.2">
      <c r="A47" s="14" t="s">
        <v>14</v>
      </c>
      <c r="B47" s="14" t="s">
        <v>61</v>
      </c>
      <c r="C47" s="10"/>
      <c r="D47" s="11">
        <v>1.8620000000000001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</row>
    <row r="48" spans="1:14" ht="64" x14ac:dyDescent="0.2">
      <c r="A48" s="14" t="s">
        <v>15</v>
      </c>
      <c r="B48" s="14" t="s">
        <v>62</v>
      </c>
      <c r="C48" s="10"/>
      <c r="D48" s="11">
        <v>0.96600000000000008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</row>
    <row r="49" spans="1:46" ht="64" x14ac:dyDescent="0.2">
      <c r="A49" s="14" t="s">
        <v>16</v>
      </c>
      <c r="B49" s="14" t="s">
        <v>63</v>
      </c>
      <c r="C49" s="10"/>
      <c r="D49" s="11">
        <v>0.83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</row>
    <row r="50" spans="1:46" ht="32" x14ac:dyDescent="0.2">
      <c r="A50" s="14" t="s">
        <v>17</v>
      </c>
      <c r="B50" s="14" t="s">
        <v>64</v>
      </c>
      <c r="C50" s="10"/>
      <c r="D50" s="11">
        <v>10.497199999999999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</row>
    <row r="51" spans="1:46" ht="47" x14ac:dyDescent="0.2">
      <c r="A51" s="14" t="s">
        <v>174</v>
      </c>
      <c r="B51" s="14" t="s">
        <v>190</v>
      </c>
      <c r="C51" s="10"/>
      <c r="D51" s="11">
        <v>8.6295999999999999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</row>
    <row r="52" spans="1:46" ht="47" x14ac:dyDescent="0.2">
      <c r="A52" s="14" t="s">
        <v>175</v>
      </c>
      <c r="B52" s="14" t="s">
        <v>191</v>
      </c>
      <c r="C52" s="10"/>
      <c r="D52" s="11">
        <v>6.78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</row>
    <row r="53" spans="1:46" ht="32" x14ac:dyDescent="0.2">
      <c r="A53" s="14" t="s">
        <v>18</v>
      </c>
      <c r="B53" s="14" t="s">
        <v>65</v>
      </c>
      <c r="C53" s="10"/>
      <c r="D53" s="11">
        <v>6.78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</row>
    <row r="54" spans="1:46" ht="32" x14ac:dyDescent="0.2">
      <c r="A54" s="14" t="s">
        <v>19</v>
      </c>
      <c r="B54" s="14" t="s">
        <v>66</v>
      </c>
      <c r="C54" s="10"/>
      <c r="D54" s="11">
        <v>2.6661599999999996</v>
      </c>
      <c r="E54" s="66"/>
      <c r="F54" s="66"/>
      <c r="G54" s="66"/>
      <c r="H54" s="66"/>
      <c r="I54" s="66"/>
      <c r="J54" s="66"/>
      <c r="K54" s="66"/>
      <c r="L54" s="66"/>
      <c r="M54" s="66"/>
      <c r="N54" s="66"/>
    </row>
    <row r="55" spans="1:46" ht="32" x14ac:dyDescent="0.2">
      <c r="A55" s="14" t="s">
        <v>20</v>
      </c>
      <c r="B55" s="14" t="s">
        <v>67</v>
      </c>
      <c r="C55" s="10"/>
      <c r="D55" s="11">
        <v>3.4389599999999998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</row>
    <row r="56" spans="1:46" ht="32" x14ac:dyDescent="0.2">
      <c r="A56" s="14" t="s">
        <v>21</v>
      </c>
      <c r="B56" s="14" t="s">
        <v>131</v>
      </c>
      <c r="C56" s="10"/>
      <c r="D56" s="11">
        <v>3.4389599999999998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</row>
    <row r="57" spans="1:46" ht="64" x14ac:dyDescent="0.2">
      <c r="A57" s="14" t="s">
        <v>22</v>
      </c>
      <c r="B57" s="14" t="s">
        <v>70</v>
      </c>
      <c r="C57" s="10"/>
      <c r="D57" s="11">
        <v>0.15512465373961221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</row>
    <row r="58" spans="1:46" ht="64" x14ac:dyDescent="0.2">
      <c r="A58" s="14" t="s">
        <v>23</v>
      </c>
      <c r="B58" s="14" t="s">
        <v>69</v>
      </c>
      <c r="C58" s="10"/>
      <c r="D58" s="11">
        <v>0.27922437673130196</v>
      </c>
      <c r="E58" s="66"/>
      <c r="F58" s="66"/>
      <c r="G58" s="66"/>
      <c r="H58" s="66"/>
      <c r="I58" s="66"/>
      <c r="J58" s="66"/>
      <c r="K58" s="66"/>
      <c r="L58" s="66"/>
      <c r="M58" s="66"/>
      <c r="N58" s="66"/>
    </row>
    <row r="59" spans="1:46" ht="64" x14ac:dyDescent="0.2">
      <c r="A59" s="14" t="s">
        <v>24</v>
      </c>
      <c r="B59" s="14" t="s">
        <v>68</v>
      </c>
      <c r="C59" s="10"/>
      <c r="D59" s="11">
        <v>0.12409972299168978</v>
      </c>
      <c r="E59" s="66"/>
      <c r="F59" s="66"/>
      <c r="G59" s="66"/>
      <c r="H59" s="66"/>
      <c r="I59" s="66"/>
      <c r="J59" s="66"/>
      <c r="K59" s="66"/>
      <c r="L59" s="66"/>
      <c r="M59" s="66"/>
      <c r="N59" s="66"/>
    </row>
    <row r="60" spans="1:46" ht="64" x14ac:dyDescent="0.2">
      <c r="A60" s="14" t="s">
        <v>25</v>
      </c>
      <c r="B60" s="14" t="s">
        <v>71</v>
      </c>
      <c r="C60" s="10"/>
      <c r="D60" s="11">
        <v>3.1024930747922445E-2</v>
      </c>
      <c r="E60" s="66"/>
      <c r="F60" s="66"/>
      <c r="G60" s="66"/>
      <c r="H60" s="66"/>
      <c r="I60" s="66"/>
      <c r="J60" s="66"/>
      <c r="K60" s="66"/>
      <c r="L60" s="66"/>
      <c r="M60" s="66"/>
      <c r="N60" s="66"/>
    </row>
    <row r="61" spans="1:46" ht="64" x14ac:dyDescent="0.2">
      <c r="A61" s="14" t="s">
        <v>26</v>
      </c>
      <c r="B61" s="14" t="s">
        <v>72</v>
      </c>
      <c r="C61" s="10"/>
      <c r="D61" s="11">
        <v>3.49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</row>
    <row r="62" spans="1:46" ht="192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66"/>
      <c r="F62" s="66"/>
      <c r="G62" s="66"/>
      <c r="H62" s="66"/>
      <c r="I62" s="66"/>
      <c r="J62" s="66"/>
      <c r="K62" s="66"/>
      <c r="L62" s="66"/>
      <c r="M62" s="66"/>
      <c r="N62" s="66"/>
    </row>
    <row r="63" spans="1:46" ht="192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</row>
    <row r="64" spans="1:46" ht="64" x14ac:dyDescent="0.2">
      <c r="A64" s="14" t="s">
        <v>29</v>
      </c>
      <c r="B64" s="14" t="s">
        <v>75</v>
      </c>
      <c r="C64" s="10"/>
      <c r="D64" s="11">
        <v>1.1399999999999999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</row>
    <row r="65" spans="1:46" ht="64" x14ac:dyDescent="0.2">
      <c r="A65" s="14" t="s">
        <v>30</v>
      </c>
      <c r="B65" s="14" t="s">
        <v>76</v>
      </c>
      <c r="C65" s="10"/>
      <c r="D65" s="11">
        <v>1.22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</row>
    <row r="66" spans="1:46" ht="64" x14ac:dyDescent="0.2">
      <c r="A66" s="14" t="s">
        <v>31</v>
      </c>
      <c r="B66" s="14" t="s">
        <v>259</v>
      </c>
      <c r="C66" s="10"/>
      <c r="D66" s="11">
        <v>2.15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</row>
    <row r="67" spans="1:46" ht="96" x14ac:dyDescent="0.2">
      <c r="A67" s="14" t="s">
        <v>32</v>
      </c>
      <c r="B67" s="14" t="s">
        <v>77</v>
      </c>
      <c r="C67" s="10"/>
      <c r="D67" s="11">
        <v>5.5579999999999998</v>
      </c>
      <c r="E67" s="66"/>
      <c r="F67" s="66"/>
      <c r="G67" s="66"/>
      <c r="H67" s="66"/>
      <c r="I67" s="66"/>
      <c r="J67" s="66"/>
      <c r="K67" s="66"/>
      <c r="L67" s="66"/>
      <c r="M67" s="66"/>
      <c r="N67" s="66"/>
    </row>
    <row r="68" spans="1:46" ht="96" x14ac:dyDescent="0.2">
      <c r="A68" s="14" t="s">
        <v>33</v>
      </c>
      <c r="B68" s="14" t="s">
        <v>78</v>
      </c>
      <c r="C68" s="10"/>
      <c r="D68" s="11">
        <v>5.5579999999999998</v>
      </c>
      <c r="E68" s="66"/>
      <c r="F68" s="66"/>
      <c r="G68" s="66"/>
      <c r="H68" s="66"/>
      <c r="I68" s="66"/>
      <c r="J68" s="66"/>
      <c r="K68" s="66"/>
      <c r="L68" s="66"/>
      <c r="M68" s="66"/>
      <c r="N68" s="66"/>
    </row>
    <row r="69" spans="1:46" ht="96" x14ac:dyDescent="0.2">
      <c r="A69" s="14" t="s">
        <v>176</v>
      </c>
      <c r="B69" s="14" t="s">
        <v>192</v>
      </c>
      <c r="C69" s="10"/>
      <c r="D69" s="11">
        <v>5.5579999999999998</v>
      </c>
      <c r="E69" s="66"/>
      <c r="F69" s="66"/>
      <c r="G69" s="66"/>
      <c r="H69" s="66"/>
      <c r="I69" s="66"/>
      <c r="J69" s="66"/>
      <c r="K69" s="66"/>
      <c r="L69" s="66"/>
      <c r="M69" s="66"/>
      <c r="N69" s="66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</row>
    <row r="70" spans="1:46" ht="96" x14ac:dyDescent="0.2">
      <c r="A70" s="14" t="s">
        <v>177</v>
      </c>
      <c r="B70" s="14" t="s">
        <v>193</v>
      </c>
      <c r="C70" s="10"/>
      <c r="D70" s="11">
        <v>5.5579999999999998</v>
      </c>
      <c r="E70" s="66"/>
      <c r="F70" s="66"/>
      <c r="G70" s="66"/>
      <c r="H70" s="66"/>
      <c r="I70" s="66"/>
      <c r="J70" s="66"/>
      <c r="K70" s="66"/>
      <c r="L70" s="66"/>
      <c r="M70" s="66"/>
      <c r="N70" s="66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</row>
    <row r="71" spans="1:46" ht="96" x14ac:dyDescent="0.2">
      <c r="A71" s="14" t="s">
        <v>178</v>
      </c>
      <c r="B71" s="14" t="s">
        <v>194</v>
      </c>
      <c r="C71" s="10"/>
      <c r="D71" s="11">
        <v>5.5579999999999998</v>
      </c>
      <c r="E71" s="66"/>
      <c r="F71" s="66"/>
      <c r="G71" s="66"/>
      <c r="H71" s="66"/>
      <c r="I71" s="66"/>
      <c r="J71" s="66"/>
      <c r="K71" s="66"/>
      <c r="L71" s="66"/>
      <c r="M71" s="66"/>
      <c r="N71" s="66"/>
    </row>
    <row r="72" spans="1:46" ht="96" x14ac:dyDescent="0.2">
      <c r="A72" s="14" t="s">
        <v>179</v>
      </c>
      <c r="B72" s="14" t="s">
        <v>195</v>
      </c>
      <c r="C72" s="10"/>
      <c r="D72" s="11">
        <v>5.5579999999999998</v>
      </c>
      <c r="E72" s="66"/>
      <c r="F72" s="66"/>
      <c r="G72" s="66"/>
      <c r="H72" s="66"/>
      <c r="I72" s="66"/>
      <c r="J72" s="66"/>
      <c r="K72" s="66"/>
      <c r="L72" s="66"/>
      <c r="M72" s="66"/>
      <c r="N72" s="66"/>
    </row>
    <row r="73" spans="1:46" ht="96" x14ac:dyDescent="0.2">
      <c r="A73" s="14" t="s">
        <v>34</v>
      </c>
      <c r="B73" s="14" t="s">
        <v>79</v>
      </c>
      <c r="C73" s="10"/>
      <c r="D73" s="11">
        <v>3.3879999999999999</v>
      </c>
      <c r="E73" s="66"/>
      <c r="F73" s="66"/>
      <c r="G73" s="66"/>
      <c r="H73" s="66"/>
      <c r="I73" s="66"/>
      <c r="J73" s="66"/>
      <c r="K73" s="66"/>
      <c r="L73" s="66"/>
      <c r="M73" s="66"/>
      <c r="N73" s="66"/>
    </row>
    <row r="74" spans="1:46" ht="96" x14ac:dyDescent="0.2">
      <c r="A74" s="14" t="s">
        <v>35</v>
      </c>
      <c r="B74" s="14" t="s">
        <v>80</v>
      </c>
      <c r="C74" s="10"/>
      <c r="D74" s="11">
        <v>3.3879999999999999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</row>
    <row r="75" spans="1:46" ht="64" x14ac:dyDescent="0.2">
      <c r="A75" s="14" t="s">
        <v>36</v>
      </c>
      <c r="B75" s="14" t="s">
        <v>81</v>
      </c>
      <c r="C75" s="10"/>
      <c r="D75" s="11">
        <v>2.1280000000000001</v>
      </c>
      <c r="E75" s="66"/>
      <c r="F75" s="66"/>
      <c r="G75" s="66"/>
      <c r="H75" s="66"/>
      <c r="I75" s="66"/>
      <c r="J75" s="66"/>
      <c r="K75" s="66"/>
      <c r="L75" s="66"/>
      <c r="M75" s="66"/>
      <c r="N75" s="66"/>
    </row>
    <row r="76" spans="1:46" ht="64" x14ac:dyDescent="0.2">
      <c r="A76" s="14" t="s">
        <v>37</v>
      </c>
      <c r="B76" s="14" t="s">
        <v>82</v>
      </c>
      <c r="C76" s="10"/>
      <c r="D76" s="11">
        <v>2.702</v>
      </c>
      <c r="E76" s="66"/>
      <c r="F76" s="66"/>
      <c r="G76" s="66"/>
      <c r="H76" s="66"/>
      <c r="I76" s="66"/>
      <c r="J76" s="66"/>
      <c r="K76" s="66"/>
      <c r="L76" s="66"/>
      <c r="M76" s="66"/>
      <c r="N76" s="66"/>
    </row>
    <row r="77" spans="1:46" ht="96" x14ac:dyDescent="0.2">
      <c r="A77" s="14" t="s">
        <v>38</v>
      </c>
      <c r="B77" s="14" t="s">
        <v>83</v>
      </c>
      <c r="C77" s="10"/>
      <c r="D77" s="11">
        <v>0.68599999999999994</v>
      </c>
      <c r="E77" s="66"/>
      <c r="F77" s="66"/>
      <c r="G77" s="66"/>
      <c r="H77" s="66"/>
      <c r="I77" s="66"/>
      <c r="J77" s="66"/>
      <c r="K77" s="66"/>
      <c r="L77" s="66"/>
      <c r="M77" s="66"/>
      <c r="N77" s="66"/>
    </row>
    <row r="78" spans="1:46" ht="96" x14ac:dyDescent="0.2">
      <c r="A78" s="14" t="s">
        <v>39</v>
      </c>
      <c r="B78" s="14" t="s">
        <v>84</v>
      </c>
      <c r="C78" s="10"/>
      <c r="D78" s="11">
        <v>0.68599999999999994</v>
      </c>
      <c r="E78" s="66"/>
      <c r="F78" s="66"/>
      <c r="G78" s="66"/>
      <c r="H78" s="66"/>
      <c r="I78" s="66"/>
      <c r="J78" s="66"/>
      <c r="K78" s="66"/>
      <c r="L78" s="66"/>
      <c r="M78" s="66"/>
      <c r="N78" s="66"/>
    </row>
    <row r="79" spans="1:46" ht="96" x14ac:dyDescent="0.2">
      <c r="A79" s="14" t="s">
        <v>40</v>
      </c>
      <c r="B79" s="14" t="s">
        <v>85</v>
      </c>
      <c r="C79" s="10"/>
      <c r="D79" s="11">
        <v>0.98</v>
      </c>
      <c r="E79" s="66"/>
      <c r="F79" s="66"/>
      <c r="G79" s="66"/>
      <c r="H79" s="66"/>
      <c r="I79" s="66"/>
      <c r="J79" s="66"/>
      <c r="K79" s="66"/>
      <c r="L79" s="66"/>
      <c r="M79" s="66"/>
      <c r="N79" s="66"/>
    </row>
    <row r="80" spans="1:46" ht="96" x14ac:dyDescent="0.2">
      <c r="A80" s="14" t="s">
        <v>41</v>
      </c>
      <c r="B80" s="15" t="s">
        <v>254</v>
      </c>
      <c r="C80" s="16"/>
      <c r="D80" s="11">
        <v>0.98</v>
      </c>
      <c r="E80" s="66"/>
      <c r="F80" s="66"/>
      <c r="G80" s="66"/>
      <c r="H80" s="66"/>
      <c r="I80" s="66"/>
      <c r="J80" s="66"/>
      <c r="K80" s="66"/>
      <c r="L80" s="66"/>
      <c r="M80" s="66"/>
      <c r="N80" s="66"/>
    </row>
    <row r="81" spans="1:46" ht="96" x14ac:dyDescent="0.2">
      <c r="A81" s="14" t="s">
        <v>136</v>
      </c>
      <c r="B81" s="14" t="s">
        <v>132</v>
      </c>
      <c r="C81" s="10"/>
      <c r="D81" s="11">
        <v>0.98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</row>
    <row r="82" spans="1:46" ht="96" x14ac:dyDescent="0.2">
      <c r="A82" s="14" t="s">
        <v>137</v>
      </c>
      <c r="B82" s="14" t="s">
        <v>133</v>
      </c>
      <c r="C82" s="10"/>
      <c r="D82" s="11">
        <v>0.68599999999999994</v>
      </c>
      <c r="E82" s="66"/>
      <c r="F82" s="66"/>
      <c r="G82" s="66"/>
      <c r="H82" s="66"/>
      <c r="I82" s="66"/>
      <c r="J82" s="66"/>
      <c r="K82" s="66"/>
      <c r="L82" s="66"/>
      <c r="M82" s="66"/>
      <c r="N82" s="66"/>
    </row>
    <row r="83" spans="1:46" ht="128" x14ac:dyDescent="0.2">
      <c r="A83" s="10" t="s">
        <v>154</v>
      </c>
      <c r="B83" s="10" t="s">
        <v>155</v>
      </c>
      <c r="C83" s="10"/>
      <c r="D83" s="11">
        <v>19.137999999999998</v>
      </c>
      <c r="E83" s="66"/>
      <c r="F83" s="66"/>
      <c r="G83" s="66"/>
      <c r="H83" s="66"/>
      <c r="I83" s="66"/>
      <c r="J83" s="66"/>
      <c r="K83" s="66"/>
      <c r="L83" s="66"/>
      <c r="M83" s="66"/>
      <c r="N83" s="66"/>
      <c r="Q83" s="21"/>
      <c r="R83" s="21"/>
      <c r="S83" s="21"/>
      <c r="T83" s="21"/>
      <c r="U83" s="5"/>
      <c r="V83" s="25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</row>
    <row r="84" spans="1:46" ht="320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66"/>
      <c r="F84" s="66"/>
      <c r="G84" s="66"/>
      <c r="H84" s="66"/>
      <c r="I84" s="66"/>
      <c r="J84" s="66"/>
      <c r="K84" s="66"/>
      <c r="L84" s="66"/>
      <c r="M84" s="66"/>
      <c r="N84" s="66"/>
      <c r="Q84" s="21"/>
      <c r="R84" s="21"/>
      <c r="S84" s="21"/>
      <c r="T84" s="21"/>
      <c r="U84" s="5"/>
      <c r="V84" s="25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</row>
    <row r="85" spans="1:46" ht="320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66"/>
      <c r="F85" s="66"/>
      <c r="G85" s="66"/>
      <c r="H85" s="66"/>
      <c r="I85" s="66"/>
      <c r="J85" s="66"/>
      <c r="K85" s="66"/>
      <c r="L85" s="66"/>
      <c r="M85" s="66"/>
      <c r="N85" s="66"/>
      <c r="Q85" s="21"/>
      <c r="R85" s="21"/>
      <c r="S85" s="21"/>
      <c r="T85" s="21"/>
      <c r="U85" s="5"/>
      <c r="V85" s="25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</row>
    <row r="86" spans="1:46" ht="320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66"/>
      <c r="F86" s="66"/>
      <c r="G86" s="66"/>
      <c r="H86" s="66"/>
      <c r="I86" s="66"/>
      <c r="J86" s="66"/>
      <c r="K86" s="66"/>
      <c r="L86" s="66"/>
      <c r="M86" s="66"/>
      <c r="N86" s="66"/>
      <c r="Q86" s="21"/>
      <c r="R86" s="21"/>
      <c r="S86" s="21"/>
      <c r="T86" s="21"/>
      <c r="U86" s="5"/>
      <c r="V86" s="25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</row>
    <row r="87" spans="1:46" ht="128" x14ac:dyDescent="0.2">
      <c r="A87" s="14" t="s">
        <v>180</v>
      </c>
      <c r="B87" s="10" t="s">
        <v>181</v>
      </c>
      <c r="C87" s="10"/>
      <c r="D87" s="11">
        <v>0.75</v>
      </c>
      <c r="E87" s="66"/>
      <c r="F87" s="66"/>
      <c r="G87" s="66"/>
      <c r="H87" s="66"/>
      <c r="I87" s="66"/>
      <c r="J87" s="66"/>
      <c r="K87" s="66"/>
      <c r="L87" s="66"/>
      <c r="M87" s="66"/>
      <c r="N87" s="66"/>
      <c r="U87" s="5"/>
      <c r="V87" s="25"/>
    </row>
    <row r="88" spans="1:46" ht="128" x14ac:dyDescent="0.2">
      <c r="A88" s="14" t="s">
        <v>182</v>
      </c>
      <c r="B88" s="10" t="s">
        <v>183</v>
      </c>
      <c r="C88" s="10"/>
      <c r="D88" s="11">
        <v>0.75</v>
      </c>
      <c r="E88" s="66"/>
      <c r="F88" s="66"/>
      <c r="G88" s="66"/>
      <c r="H88" s="66"/>
      <c r="I88" s="66"/>
      <c r="J88" s="66"/>
      <c r="K88" s="66"/>
      <c r="L88" s="66"/>
      <c r="M88" s="66"/>
      <c r="N88" s="66"/>
      <c r="U88" s="5"/>
      <c r="V88" s="25"/>
    </row>
    <row r="89" spans="1:46" ht="128" x14ac:dyDescent="0.2">
      <c r="A89" s="14" t="s">
        <v>184</v>
      </c>
      <c r="B89" s="10" t="s">
        <v>185</v>
      </c>
      <c r="C89" s="10"/>
      <c r="D89" s="11">
        <v>0.75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U89" s="5"/>
      <c r="V89" s="25"/>
    </row>
    <row r="90" spans="1:46" ht="128" x14ac:dyDescent="0.2">
      <c r="A90" s="14" t="s">
        <v>186</v>
      </c>
      <c r="B90" s="14" t="s">
        <v>256</v>
      </c>
      <c r="C90" s="10"/>
      <c r="D90" s="11">
        <v>0.75</v>
      </c>
      <c r="E90" s="66"/>
      <c r="F90" s="66"/>
      <c r="G90" s="66"/>
      <c r="H90" s="66"/>
      <c r="I90" s="66"/>
      <c r="J90" s="66"/>
      <c r="K90" s="66"/>
      <c r="L90" s="66"/>
      <c r="M90" s="66"/>
      <c r="N90" s="66"/>
      <c r="U90" s="5"/>
      <c r="V90" s="25"/>
    </row>
  </sheetData>
  <mergeCells count="1"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7404-2321-8F47-B955-A53C5C1C73DA}">
  <sheetPr>
    <tabColor rgb="FF00B050"/>
  </sheetPr>
  <dimension ref="A1:AN92"/>
  <sheetViews>
    <sheetView topLeftCell="B1" zoomScale="49" zoomScaleNormal="75" workbookViewId="0">
      <selection activeCell="G3" sqref="G3"/>
    </sheetView>
  </sheetViews>
  <sheetFormatPr baseColWidth="10" defaultRowHeight="31" x14ac:dyDescent="0.35"/>
  <cols>
    <col min="1" max="2" width="58.33203125" style="1" customWidth="1"/>
    <col min="3" max="3" width="61.33203125" style="1" customWidth="1"/>
    <col min="4" max="4" width="64.6640625" style="1" customWidth="1"/>
    <col min="5" max="5" width="52.6640625" style="1" customWidth="1"/>
    <col min="6" max="6" width="50.1640625" style="1" customWidth="1"/>
    <col min="7" max="7" width="48.5" style="1" customWidth="1"/>
    <col min="8" max="8" width="49.33203125" style="1" customWidth="1"/>
    <col min="9" max="9" width="37.33203125" style="1" customWidth="1"/>
    <col min="10" max="10" width="39.83203125" style="1" customWidth="1"/>
    <col min="11" max="11" width="4.6640625" style="1" customWidth="1"/>
    <col min="12" max="12" width="7.1640625" style="1" customWidth="1"/>
    <col min="13" max="13" width="4.83203125" style="1" customWidth="1"/>
    <col min="14" max="14" width="3.83203125" style="1" customWidth="1"/>
    <col min="15" max="15" width="48.83203125" style="1" customWidth="1"/>
    <col min="16" max="16" width="39.6640625" style="1" customWidth="1"/>
    <col min="17" max="16384" width="10.83203125" style="1"/>
  </cols>
  <sheetData>
    <row r="1" spans="1:40" s="51" customFormat="1" ht="184" customHeight="1" x14ac:dyDescent="0.35">
      <c r="A1" s="2" t="s">
        <v>88</v>
      </c>
      <c r="B1" s="2" t="s">
        <v>89</v>
      </c>
      <c r="C1" s="3" t="s">
        <v>86</v>
      </c>
      <c r="D1" s="3" t="s">
        <v>87</v>
      </c>
      <c r="E1" s="49" t="s">
        <v>270</v>
      </c>
      <c r="F1" s="49" t="s">
        <v>271</v>
      </c>
      <c r="G1" s="49" t="s">
        <v>272</v>
      </c>
      <c r="H1" s="49" t="s">
        <v>273</v>
      </c>
      <c r="I1" s="49" t="s">
        <v>274</v>
      </c>
      <c r="J1" s="49" t="s">
        <v>275</v>
      </c>
      <c r="K1" s="49"/>
      <c r="L1" s="49"/>
      <c r="M1" s="49"/>
      <c r="N1" s="49"/>
      <c r="O1" s="5"/>
      <c r="P1" s="5"/>
      <c r="Q1" s="5"/>
      <c r="R1" s="5"/>
      <c r="S1" s="5"/>
      <c r="T1" s="5"/>
      <c r="U1" s="5"/>
      <c r="V1" s="5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</row>
    <row r="2" spans="1:40" s="51" customFormat="1" ht="184" customHeight="1" x14ac:dyDescent="0.35">
      <c r="A2" s="2"/>
      <c r="B2" s="2"/>
      <c r="C2" s="3"/>
      <c r="D2" s="3"/>
      <c r="E2" s="49"/>
      <c r="F2" s="49"/>
      <c r="G2" s="49"/>
      <c r="H2" s="49"/>
      <c r="I2" s="49"/>
      <c r="J2" s="49"/>
      <c r="K2" s="49"/>
      <c r="L2" s="49"/>
      <c r="M2" s="49"/>
      <c r="N2" s="49"/>
      <c r="O2" s="5"/>
      <c r="P2" s="5"/>
      <c r="Q2" s="5"/>
      <c r="R2" s="5"/>
      <c r="S2" s="5"/>
      <c r="T2" s="5"/>
      <c r="U2" s="5"/>
      <c r="V2" s="5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</row>
    <row r="3" spans="1:40" s="24" customFormat="1" ht="184" customHeight="1" x14ac:dyDescent="0.2">
      <c r="A3" s="2"/>
      <c r="B3" s="2"/>
      <c r="C3" s="3"/>
      <c r="D3" s="3" t="s">
        <v>125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/>
      <c r="L3" s="7"/>
      <c r="M3" s="7"/>
      <c r="N3" s="7"/>
      <c r="O3" s="24" t="s">
        <v>114</v>
      </c>
      <c r="P3" s="24" t="s">
        <v>124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64" x14ac:dyDescent="0.35">
      <c r="A4" s="9" t="s">
        <v>108</v>
      </c>
      <c r="B4" s="9" t="s">
        <v>42</v>
      </c>
      <c r="C4" s="10"/>
      <c r="D4" s="11">
        <v>3.2071200000000002</v>
      </c>
      <c r="E4" s="5"/>
      <c r="F4" s="5"/>
      <c r="G4" s="5"/>
      <c r="H4" s="5"/>
      <c r="I4" s="5">
        <f>4*I3</f>
        <v>0</v>
      </c>
      <c r="J4" s="5">
        <f>4*J3</f>
        <v>0</v>
      </c>
      <c r="K4" s="5"/>
      <c r="L4" s="5"/>
      <c r="M4" s="5"/>
      <c r="N4" s="5"/>
      <c r="O4" s="5">
        <f t="shared" ref="O4:O67" si="0">SUM(E4:J4)</f>
        <v>0</v>
      </c>
      <c r="P4" s="25">
        <f t="shared" ref="P4:P20" si="1">D4*O4</f>
        <v>0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ht="64" x14ac:dyDescent="0.35">
      <c r="A5" s="9" t="s">
        <v>109</v>
      </c>
      <c r="B5" s="9" t="s">
        <v>43</v>
      </c>
      <c r="C5" s="10"/>
      <c r="D5" s="11">
        <v>4.1087199999999999</v>
      </c>
      <c r="E5" s="5"/>
      <c r="F5" s="5"/>
      <c r="G5" s="5"/>
      <c r="H5" s="5"/>
      <c r="I5" s="5">
        <f>1*I3</f>
        <v>0</v>
      </c>
      <c r="J5" s="5">
        <f>1*J3</f>
        <v>0</v>
      </c>
      <c r="K5" s="5"/>
      <c r="L5" s="5"/>
      <c r="M5" s="5"/>
      <c r="N5" s="5"/>
      <c r="O5" s="5">
        <f t="shared" si="0"/>
        <v>0</v>
      </c>
      <c r="P5" s="25">
        <f t="shared" si="1"/>
        <v>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ht="64" x14ac:dyDescent="0.35">
      <c r="A6" s="9" t="s">
        <v>110</v>
      </c>
      <c r="B6" s="9" t="s">
        <v>44</v>
      </c>
      <c r="C6" s="10"/>
      <c r="D6" s="11">
        <v>3.47</v>
      </c>
      <c r="E6" s="13">
        <f>4*E3</f>
        <v>0</v>
      </c>
      <c r="F6" s="13">
        <f>4*F3</f>
        <v>0</v>
      </c>
      <c r="G6" s="13">
        <f t="shared" ref="G6:H6" si="2">4*G3</f>
        <v>0</v>
      </c>
      <c r="H6" s="13">
        <f t="shared" si="2"/>
        <v>0</v>
      </c>
      <c r="I6" s="5"/>
      <c r="J6" s="5"/>
      <c r="K6" s="5"/>
      <c r="L6" s="5"/>
      <c r="M6" s="5"/>
      <c r="N6" s="5"/>
      <c r="O6" s="5">
        <f t="shared" si="0"/>
        <v>0</v>
      </c>
      <c r="P6" s="25">
        <f t="shared" si="1"/>
        <v>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ht="64" x14ac:dyDescent="0.35">
      <c r="A7" s="9" t="s">
        <v>111</v>
      </c>
      <c r="B7" s="9" t="s">
        <v>45</v>
      </c>
      <c r="C7" s="10"/>
      <c r="D7" s="11">
        <v>4.2699999999999996</v>
      </c>
      <c r="E7" s="13">
        <f>1*E3</f>
        <v>0</v>
      </c>
      <c r="F7" s="13">
        <f>1*F3</f>
        <v>0</v>
      </c>
      <c r="G7" s="13">
        <f t="shared" ref="G7:H7" si="3">1*G3</f>
        <v>0</v>
      </c>
      <c r="H7" s="13">
        <f t="shared" si="3"/>
        <v>0</v>
      </c>
      <c r="I7" s="5"/>
      <c r="J7" s="5"/>
      <c r="K7" s="5"/>
      <c r="L7" s="5"/>
      <c r="M7" s="5"/>
      <c r="N7" s="5"/>
      <c r="O7" s="5">
        <f t="shared" si="0"/>
        <v>0</v>
      </c>
      <c r="P7" s="25">
        <f t="shared" si="1"/>
        <v>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64" x14ac:dyDescent="0.35">
      <c r="A8" s="9" t="s">
        <v>112</v>
      </c>
      <c r="B8" s="9" t="s">
        <v>46</v>
      </c>
      <c r="C8" s="10"/>
      <c r="D8" s="11">
        <v>6.23</v>
      </c>
      <c r="E8" s="13"/>
      <c r="F8" s="5"/>
      <c r="G8" s="5"/>
      <c r="H8" s="5"/>
      <c r="I8" s="5"/>
      <c r="J8" s="5"/>
      <c r="K8" s="5"/>
      <c r="L8" s="5"/>
      <c r="M8" s="5"/>
      <c r="N8" s="5"/>
      <c r="O8" s="5">
        <f t="shared" si="0"/>
        <v>0</v>
      </c>
      <c r="P8" s="25">
        <f t="shared" si="1"/>
        <v>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ht="64" x14ac:dyDescent="0.35">
      <c r="A9" s="9" t="s">
        <v>113</v>
      </c>
      <c r="B9" s="9" t="s">
        <v>47</v>
      </c>
      <c r="C9" s="10"/>
      <c r="D9" s="11">
        <v>7.6579999999999995</v>
      </c>
      <c r="E9" s="13"/>
      <c r="F9" s="5"/>
      <c r="G9" s="5"/>
      <c r="H9" s="5"/>
      <c r="I9" s="5"/>
      <c r="J9" s="5"/>
      <c r="K9" s="5"/>
      <c r="L9" s="5"/>
      <c r="M9" s="5"/>
      <c r="N9" s="5"/>
      <c r="O9" s="5">
        <f t="shared" si="0"/>
        <v>0</v>
      </c>
      <c r="P9" s="25">
        <f t="shared" si="1"/>
        <v>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ht="96" x14ac:dyDescent="0.35">
      <c r="A10" s="9" t="s">
        <v>119</v>
      </c>
      <c r="B10" s="9" t="s">
        <v>48</v>
      </c>
      <c r="C10" s="10" t="s">
        <v>90</v>
      </c>
      <c r="D10" s="11">
        <v>2.4472</v>
      </c>
      <c r="E10" s="13"/>
      <c r="F10" s="5"/>
      <c r="G10" s="5"/>
      <c r="H10" s="5"/>
      <c r="I10" s="5">
        <f>1*I3</f>
        <v>0</v>
      </c>
      <c r="J10" s="5"/>
      <c r="K10" s="5"/>
      <c r="L10" s="5"/>
      <c r="M10" s="5"/>
      <c r="N10" s="5"/>
      <c r="O10" s="5">
        <f t="shared" si="0"/>
        <v>0</v>
      </c>
      <c r="P10" s="25">
        <f t="shared" si="1"/>
        <v>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E11" s="13"/>
      <c r="F11" s="5"/>
      <c r="G11" s="5">
        <f>1*G3</f>
        <v>0</v>
      </c>
      <c r="H11" s="5">
        <f>1*H3</f>
        <v>0</v>
      </c>
      <c r="I11" s="5"/>
      <c r="J11" s="5"/>
      <c r="K11" s="5"/>
      <c r="L11" s="5"/>
      <c r="M11" s="5"/>
      <c r="N11" s="5"/>
      <c r="O11" s="5">
        <f t="shared" si="0"/>
        <v>0</v>
      </c>
      <c r="P11" s="25">
        <f t="shared" si="1"/>
        <v>0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96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E12" s="13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25">
        <f t="shared" si="1"/>
        <v>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ht="96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E13" s="13"/>
      <c r="F13" s="5"/>
      <c r="G13" s="5"/>
      <c r="H13" s="5"/>
      <c r="I13" s="5"/>
      <c r="J13" s="5"/>
      <c r="K13" s="5"/>
      <c r="L13" s="5"/>
      <c r="M13" s="5"/>
      <c r="N13" s="5"/>
      <c r="O13" s="5">
        <f t="shared" si="0"/>
        <v>0</v>
      </c>
      <c r="P13" s="25">
        <f t="shared" si="1"/>
        <v>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96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13"/>
      <c r="F14" s="5"/>
      <c r="G14" s="5"/>
      <c r="H14" s="5"/>
      <c r="I14" s="5"/>
      <c r="J14" s="5"/>
      <c r="K14" s="5"/>
      <c r="L14" s="5"/>
      <c r="M14" s="5"/>
      <c r="N14" s="5"/>
      <c r="O14" s="5">
        <f t="shared" si="0"/>
        <v>0</v>
      </c>
      <c r="P14" s="25">
        <f t="shared" si="1"/>
        <v>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96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E15" s="13"/>
      <c r="F15" s="5"/>
      <c r="G15" s="5"/>
      <c r="H15" s="5"/>
      <c r="I15" s="5"/>
      <c r="J15" s="5"/>
      <c r="K15" s="5"/>
      <c r="L15" s="5"/>
      <c r="M15" s="5"/>
      <c r="N15" s="5"/>
      <c r="O15" s="5">
        <f t="shared" si="0"/>
        <v>0</v>
      </c>
      <c r="P15" s="25">
        <f t="shared" si="1"/>
        <v>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96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E16" s="13"/>
      <c r="F16" s="5"/>
      <c r="G16" s="5"/>
      <c r="H16" s="5"/>
      <c r="I16" s="5"/>
      <c r="J16" s="5"/>
      <c r="K16" s="5"/>
      <c r="L16" s="5"/>
      <c r="M16" s="5"/>
      <c r="N16" s="5"/>
      <c r="O16" s="5">
        <f t="shared" si="0"/>
        <v>0</v>
      </c>
      <c r="P16" s="25">
        <f t="shared" si="1"/>
        <v>0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96" x14ac:dyDescent="0.35">
      <c r="A17" s="9" t="s">
        <v>311</v>
      </c>
      <c r="B17" s="9" t="s">
        <v>307</v>
      </c>
      <c r="C17" s="10" t="s">
        <v>91</v>
      </c>
      <c r="D17" s="11">
        <v>4.0571999999999999</v>
      </c>
      <c r="E17" s="13"/>
      <c r="F17" s="5"/>
      <c r="G17" s="5"/>
      <c r="H17" s="5"/>
      <c r="I17" s="5"/>
      <c r="J17" s="5"/>
      <c r="K17" s="5"/>
      <c r="L17" s="5"/>
      <c r="M17" s="5"/>
      <c r="N17" s="5"/>
      <c r="O17" s="5">
        <f t="shared" si="0"/>
        <v>0</v>
      </c>
      <c r="P17" s="25">
        <f t="shared" si="1"/>
        <v>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13"/>
      <c r="F18" s="13"/>
      <c r="G18" s="5"/>
      <c r="H18" s="5"/>
      <c r="I18" s="5"/>
      <c r="J18" s="5">
        <f>1*J3</f>
        <v>0</v>
      </c>
      <c r="K18" s="5"/>
      <c r="L18" s="5"/>
      <c r="M18" s="5"/>
      <c r="N18" s="5"/>
      <c r="O18" s="5">
        <f t="shared" si="0"/>
        <v>0</v>
      </c>
      <c r="P18" s="25">
        <f t="shared" si="1"/>
        <v>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96" x14ac:dyDescent="0.2">
      <c r="A19" s="9" t="s">
        <v>4</v>
      </c>
      <c r="B19" s="9" t="s">
        <v>52</v>
      </c>
      <c r="C19" s="10" t="s">
        <v>90</v>
      </c>
      <c r="D19" s="11">
        <v>4.0571999999999999</v>
      </c>
      <c r="E19" s="13">
        <f>1*E3</f>
        <v>0</v>
      </c>
      <c r="F19" s="13">
        <f>1*F3</f>
        <v>0</v>
      </c>
      <c r="G19" s="5"/>
      <c r="H19" s="5"/>
      <c r="I19" s="5"/>
      <c r="J19" s="5"/>
      <c r="K19" s="5"/>
      <c r="L19" s="5"/>
      <c r="M19" s="5"/>
      <c r="N19" s="5"/>
      <c r="O19" s="5">
        <f t="shared" si="0"/>
        <v>0</v>
      </c>
      <c r="P19" s="25">
        <f t="shared" si="1"/>
        <v>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ht="96" x14ac:dyDescent="0.2">
      <c r="A20" s="9" t="s">
        <v>5</v>
      </c>
      <c r="B20" s="9" t="s">
        <v>53</v>
      </c>
      <c r="C20" s="10" t="s">
        <v>90</v>
      </c>
      <c r="D20" s="11">
        <v>5.3</v>
      </c>
      <c r="E20" s="13"/>
      <c r="F20" s="5"/>
      <c r="G20" s="5"/>
      <c r="H20" s="5"/>
      <c r="I20" s="5"/>
      <c r="J20" s="5"/>
      <c r="K20" s="5"/>
      <c r="L20" s="5"/>
      <c r="M20" s="5"/>
      <c r="N20" s="5"/>
      <c r="O20" s="5">
        <f t="shared" si="0"/>
        <v>0</v>
      </c>
      <c r="P20" s="25">
        <f t="shared" si="1"/>
        <v>0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ht="114" customHeight="1" x14ac:dyDescent="0.2">
      <c r="A21" s="9" t="s">
        <v>207</v>
      </c>
      <c r="B21" s="9" t="s">
        <v>208</v>
      </c>
      <c r="C21" s="10" t="s">
        <v>90</v>
      </c>
      <c r="D21" s="11">
        <v>4.0571999999999999</v>
      </c>
      <c r="E21" s="13"/>
      <c r="F21" s="5"/>
      <c r="G21" s="5"/>
      <c r="H21" s="5"/>
      <c r="I21" s="5"/>
      <c r="J21" s="5"/>
      <c r="K21" s="5"/>
      <c r="L21" s="5"/>
      <c r="M21" s="5"/>
      <c r="N21" s="5"/>
      <c r="O21" s="5">
        <f t="shared" si="0"/>
        <v>0</v>
      </c>
      <c r="P21" s="2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ht="128" x14ac:dyDescent="0.2">
      <c r="A22" s="9" t="s">
        <v>199</v>
      </c>
      <c r="B22" s="9" t="s">
        <v>198</v>
      </c>
      <c r="C22" s="10" t="s">
        <v>92</v>
      </c>
      <c r="D22" s="11">
        <v>5.3065600000000011</v>
      </c>
      <c r="E22" s="13"/>
      <c r="F22" s="5"/>
      <c r="G22" s="5"/>
      <c r="H22" s="5"/>
      <c r="I22" s="5"/>
      <c r="J22" s="5"/>
      <c r="K22" s="5"/>
      <c r="L22" s="5"/>
      <c r="M22" s="5"/>
      <c r="N22" s="5"/>
      <c r="O22" s="5">
        <f t="shared" si="0"/>
        <v>0</v>
      </c>
      <c r="P22" s="25">
        <f t="shared" ref="P22:P53" si="4">D22*O22</f>
        <v>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0"/>
        <v>0</v>
      </c>
      <c r="P23" s="25">
        <f t="shared" si="4"/>
        <v>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ht="64" x14ac:dyDescent="0.2">
      <c r="A24" s="9" t="s">
        <v>162</v>
      </c>
      <c r="B24" s="9" t="s">
        <v>163</v>
      </c>
      <c r="C24" s="10"/>
      <c r="D24" s="11">
        <v>0.24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0"/>
        <v>0</v>
      </c>
      <c r="P24" s="25">
        <f t="shared" si="4"/>
        <v>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ht="64" x14ac:dyDescent="0.2">
      <c r="A25" s="9" t="s">
        <v>164</v>
      </c>
      <c r="B25" s="9" t="s">
        <v>165</v>
      </c>
      <c r="C25" s="10"/>
      <c r="D25" s="11">
        <v>0.17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0"/>
        <v>0</v>
      </c>
      <c r="P25" s="25">
        <f t="shared" si="4"/>
        <v>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ht="96" x14ac:dyDescent="0.2">
      <c r="A26" s="14" t="s">
        <v>166</v>
      </c>
      <c r="B26" s="14" t="s">
        <v>167</v>
      </c>
      <c r="C26" s="10"/>
      <c r="D26" s="11">
        <v>7.2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0"/>
        <v>0</v>
      </c>
      <c r="P26" s="25">
        <f t="shared" si="4"/>
        <v>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ht="96" x14ac:dyDescent="0.2">
      <c r="A27" s="78" t="s">
        <v>316</v>
      </c>
      <c r="B27" s="14" t="s">
        <v>169</v>
      </c>
      <c r="C27" s="10"/>
      <c r="D27" s="11">
        <v>7.2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0"/>
        <v>0</v>
      </c>
      <c r="P27" s="25">
        <f t="shared" si="4"/>
        <v>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ht="96" x14ac:dyDescent="0.2">
      <c r="A28" s="78" t="s">
        <v>314</v>
      </c>
      <c r="B28" s="14" t="s">
        <v>315</v>
      </c>
      <c r="C28" s="10"/>
      <c r="D28" s="11">
        <v>7.2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si="0"/>
        <v>0</v>
      </c>
      <c r="P28" s="25">
        <f t="shared" si="4"/>
        <v>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ht="96" x14ac:dyDescent="0.2">
      <c r="A29" s="14" t="s">
        <v>170</v>
      </c>
      <c r="B29" s="14" t="s">
        <v>171</v>
      </c>
      <c r="C29" s="10"/>
      <c r="D29" s="11">
        <v>7.2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 t="shared" si="0"/>
        <v>0</v>
      </c>
      <c r="P29" s="25">
        <f t="shared" si="4"/>
        <v>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96" x14ac:dyDescent="0.2">
      <c r="A30" s="78" t="s">
        <v>312</v>
      </c>
      <c r="B30" s="14" t="s">
        <v>173</v>
      </c>
      <c r="C30" s="10"/>
      <c r="D30" s="11">
        <v>7.2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si="0"/>
        <v>0</v>
      </c>
      <c r="P30" s="25">
        <f t="shared" si="4"/>
        <v>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ht="96" x14ac:dyDescent="0.2">
      <c r="A31" s="14" t="s">
        <v>172</v>
      </c>
      <c r="B31" s="14" t="s">
        <v>173</v>
      </c>
      <c r="C31" s="10"/>
      <c r="D31" s="11">
        <v>7.2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si="0"/>
        <v>0</v>
      </c>
      <c r="P31" s="25">
        <f t="shared" si="4"/>
        <v>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13"/>
      <c r="F32" s="5"/>
      <c r="G32" s="5"/>
      <c r="H32" s="5"/>
      <c r="I32" s="5"/>
      <c r="J32" s="5"/>
      <c r="K32" s="5"/>
      <c r="L32" s="5"/>
      <c r="M32" s="5"/>
      <c r="N32" s="5"/>
      <c r="O32" s="5">
        <f t="shared" si="0"/>
        <v>0</v>
      </c>
      <c r="P32" s="25">
        <f t="shared" si="4"/>
        <v>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13"/>
      <c r="F33" s="13"/>
      <c r="G33" s="5"/>
      <c r="H33" s="5"/>
      <c r="I33" s="5">
        <f>8*I3</f>
        <v>0</v>
      </c>
      <c r="J33" s="5"/>
      <c r="K33" s="5"/>
      <c r="L33" s="5"/>
      <c r="M33" s="5"/>
      <c r="N33" s="5"/>
      <c r="O33" s="5">
        <f t="shared" si="0"/>
        <v>0</v>
      </c>
      <c r="P33" s="25">
        <f t="shared" si="4"/>
        <v>0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13"/>
      <c r="F34" s="13"/>
      <c r="G34" s="5">
        <f>8*G3</f>
        <v>0</v>
      </c>
      <c r="H34" s="5">
        <f>8*H3</f>
        <v>0</v>
      </c>
      <c r="I34" s="5"/>
      <c r="J34" s="5"/>
      <c r="K34" s="5"/>
      <c r="L34" s="5"/>
      <c r="M34" s="5"/>
      <c r="N34" s="5"/>
      <c r="O34" s="5">
        <f t="shared" si="0"/>
        <v>0</v>
      </c>
      <c r="P34" s="25">
        <f t="shared" si="4"/>
        <v>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13"/>
      <c r="F35" s="13"/>
      <c r="G35" s="5"/>
      <c r="H35" s="5"/>
      <c r="I35" s="5"/>
      <c r="J35" s="5">
        <f>8*J3</f>
        <v>0</v>
      </c>
      <c r="K35" s="5"/>
      <c r="L35" s="5"/>
      <c r="M35" s="5"/>
      <c r="N35" s="5"/>
      <c r="O35" s="5">
        <f t="shared" si="0"/>
        <v>0</v>
      </c>
      <c r="P35" s="25">
        <f t="shared" si="4"/>
        <v>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13">
        <f>8*E3</f>
        <v>0</v>
      </c>
      <c r="F36" s="13">
        <f>8*F3</f>
        <v>0</v>
      </c>
      <c r="G36" s="5"/>
      <c r="H36" s="5"/>
      <c r="I36" s="5"/>
      <c r="J36" s="5"/>
      <c r="K36" s="5"/>
      <c r="L36" s="5"/>
      <c r="M36" s="5"/>
      <c r="N36" s="5"/>
      <c r="O36" s="5">
        <f t="shared" si="0"/>
        <v>0</v>
      </c>
      <c r="P36" s="25">
        <f t="shared" si="4"/>
        <v>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ht="188" customHeight="1" x14ac:dyDescent="0.2">
      <c r="A37" s="9" t="s">
        <v>143</v>
      </c>
      <c r="B37" s="9" t="s">
        <v>128</v>
      </c>
      <c r="C37" s="10" t="s">
        <v>0</v>
      </c>
      <c r="D37" s="11">
        <v>6.6220000000000008</v>
      </c>
      <c r="E37" s="13"/>
      <c r="F37" s="5"/>
      <c r="G37" s="5"/>
      <c r="H37" s="5"/>
      <c r="I37" s="12"/>
      <c r="O37" s="5">
        <f t="shared" si="0"/>
        <v>0</v>
      </c>
      <c r="P37" s="25">
        <f t="shared" si="4"/>
        <v>0</v>
      </c>
    </row>
    <row r="38" spans="1:40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13"/>
      <c r="F38" s="5"/>
      <c r="G38" s="5"/>
      <c r="H38" s="5"/>
      <c r="I38" s="5"/>
      <c r="J38" s="5"/>
      <c r="K38" s="5"/>
      <c r="L38" s="5"/>
      <c r="M38" s="5"/>
      <c r="N38" s="5"/>
      <c r="O38" s="5">
        <f t="shared" si="0"/>
        <v>0</v>
      </c>
      <c r="P38" s="25">
        <f t="shared" si="4"/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13"/>
      <c r="F39" s="5"/>
      <c r="G39" s="5"/>
      <c r="H39" s="5"/>
      <c r="I39" s="5"/>
      <c r="J39" s="5"/>
      <c r="K39" s="5"/>
      <c r="L39" s="5"/>
      <c r="M39" s="5"/>
      <c r="N39" s="5"/>
      <c r="O39" s="5">
        <f t="shared" si="0"/>
        <v>0</v>
      </c>
      <c r="P39" s="25">
        <f t="shared" si="4"/>
        <v>0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ht="64" x14ac:dyDescent="0.2">
      <c r="A40" s="9" t="s">
        <v>123</v>
      </c>
      <c r="B40" s="9" t="s">
        <v>98</v>
      </c>
      <c r="C40" s="10" t="s">
        <v>9</v>
      </c>
      <c r="D40" s="11">
        <v>7.22</v>
      </c>
      <c r="E40" s="13"/>
      <c r="F40" s="5"/>
      <c r="G40" s="5">
        <f>8*G3</f>
        <v>0</v>
      </c>
      <c r="H40" s="5">
        <f>8*H3</f>
        <v>0</v>
      </c>
      <c r="I40" s="5"/>
      <c r="J40" s="5"/>
      <c r="K40" s="5"/>
      <c r="L40" s="5"/>
      <c r="M40" s="5"/>
      <c r="N40" s="5"/>
      <c r="O40" s="5">
        <f t="shared" si="0"/>
        <v>0</v>
      </c>
      <c r="P40" s="25">
        <f t="shared" si="4"/>
        <v>0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ht="64" x14ac:dyDescent="0.2">
      <c r="A41" s="9" t="s">
        <v>122</v>
      </c>
      <c r="B41" s="9" t="s">
        <v>57</v>
      </c>
      <c r="C41" s="10" t="s">
        <v>9</v>
      </c>
      <c r="D41" s="11">
        <v>5.16</v>
      </c>
      <c r="E41" s="13"/>
      <c r="F41" s="5"/>
      <c r="G41" s="5"/>
      <c r="H41" s="5"/>
      <c r="I41" s="5">
        <f>8*I3</f>
        <v>0</v>
      </c>
      <c r="J41" s="5"/>
      <c r="K41" s="5"/>
      <c r="L41" s="5"/>
      <c r="M41" s="5"/>
      <c r="N41" s="5"/>
      <c r="O41" s="5">
        <f t="shared" si="0"/>
        <v>0</v>
      </c>
      <c r="P41" s="25">
        <f t="shared" si="4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64" x14ac:dyDescent="0.2">
      <c r="A42" s="9" t="s">
        <v>121</v>
      </c>
      <c r="B42" s="9" t="s">
        <v>107</v>
      </c>
      <c r="C42" s="10" t="s">
        <v>9</v>
      </c>
      <c r="D42" s="11">
        <v>7.22</v>
      </c>
      <c r="E42" s="13"/>
      <c r="F42" s="13"/>
      <c r="G42" s="5"/>
      <c r="H42" s="5"/>
      <c r="I42" s="5"/>
      <c r="J42" s="5">
        <f>8*J3</f>
        <v>0</v>
      </c>
      <c r="K42" s="5"/>
      <c r="L42" s="5"/>
      <c r="M42" s="5"/>
      <c r="N42" s="5"/>
      <c r="O42" s="5">
        <f t="shared" si="0"/>
        <v>0</v>
      </c>
      <c r="P42" s="25">
        <f t="shared" si="4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ht="64" x14ac:dyDescent="0.2">
      <c r="A43" s="9" t="s">
        <v>120</v>
      </c>
      <c r="B43" s="9" t="s">
        <v>58</v>
      </c>
      <c r="C43" s="10" t="s">
        <v>9</v>
      </c>
      <c r="D43" s="11">
        <v>7.22</v>
      </c>
      <c r="E43" s="13">
        <f>8*E3</f>
        <v>0</v>
      </c>
      <c r="F43" s="13">
        <f>8*F3</f>
        <v>0</v>
      </c>
      <c r="G43" s="5"/>
      <c r="H43" s="5"/>
      <c r="I43" s="5"/>
      <c r="J43" s="5"/>
      <c r="K43" s="5"/>
      <c r="L43" s="5"/>
      <c r="M43" s="5"/>
      <c r="N43" s="5"/>
      <c r="O43" s="5">
        <f t="shared" si="0"/>
        <v>0</v>
      </c>
      <c r="P43" s="25">
        <f t="shared" si="4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13"/>
      <c r="F44" s="5"/>
      <c r="G44" s="5"/>
      <c r="H44" s="5"/>
      <c r="I44" s="5"/>
      <c r="J44" s="5"/>
      <c r="K44" s="5"/>
      <c r="L44" s="5"/>
      <c r="M44" s="5"/>
      <c r="N44" s="5"/>
      <c r="O44" s="5">
        <f t="shared" si="0"/>
        <v>0</v>
      </c>
      <c r="P44" s="25">
        <f t="shared" si="4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ht="96" x14ac:dyDescent="0.2">
      <c r="A45" s="9" t="s">
        <v>13</v>
      </c>
      <c r="B45" s="9" t="s">
        <v>60</v>
      </c>
      <c r="C45" s="10" t="s">
        <v>0</v>
      </c>
      <c r="D45" s="11">
        <v>0.73</v>
      </c>
      <c r="E45" s="13"/>
      <c r="F45" s="5"/>
      <c r="G45" s="5"/>
      <c r="H45" s="5"/>
      <c r="I45" s="5"/>
      <c r="J45" s="5"/>
      <c r="K45" s="5"/>
      <c r="L45" s="5"/>
      <c r="M45" s="5"/>
      <c r="N45" s="5"/>
      <c r="O45" s="5">
        <f t="shared" si="0"/>
        <v>0</v>
      </c>
      <c r="P45" s="25">
        <f t="shared" si="4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ht="96" x14ac:dyDescent="0.2">
      <c r="A46" s="9" t="s">
        <v>135</v>
      </c>
      <c r="B46" s="9" t="s">
        <v>134</v>
      </c>
      <c r="C46" s="10" t="s">
        <v>0</v>
      </c>
      <c r="D46" s="11">
        <v>0.73</v>
      </c>
      <c r="E46" s="13"/>
      <c r="F46" s="5"/>
      <c r="G46" s="5"/>
      <c r="H46" s="5"/>
      <c r="I46" s="5"/>
      <c r="J46" s="5"/>
      <c r="K46" s="5"/>
      <c r="L46" s="5"/>
      <c r="M46" s="5"/>
      <c r="N46" s="5"/>
      <c r="O46" s="5">
        <f t="shared" si="0"/>
        <v>0</v>
      </c>
      <c r="P46" s="25">
        <f t="shared" si="4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ht="64" x14ac:dyDescent="0.2">
      <c r="A47" s="14" t="s">
        <v>14</v>
      </c>
      <c r="B47" s="14" t="s">
        <v>61</v>
      </c>
      <c r="C47" s="10" t="s">
        <v>0</v>
      </c>
      <c r="D47" s="11">
        <v>1.8620000000000001</v>
      </c>
      <c r="E47" s="13"/>
      <c r="F47" s="5"/>
      <c r="G47" s="5"/>
      <c r="H47" s="5"/>
      <c r="I47" s="5"/>
      <c r="J47" s="5"/>
      <c r="K47" s="5"/>
      <c r="L47" s="5"/>
      <c r="M47" s="5"/>
      <c r="N47" s="5"/>
      <c r="O47" s="5">
        <f t="shared" si="0"/>
        <v>0</v>
      </c>
      <c r="P47" s="25">
        <f t="shared" si="4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ht="64" x14ac:dyDescent="0.2">
      <c r="A48" s="14" t="s">
        <v>15</v>
      </c>
      <c r="B48" s="14" t="s">
        <v>62</v>
      </c>
      <c r="C48" s="10" t="s">
        <v>0</v>
      </c>
      <c r="D48" s="11">
        <v>0.96600000000000008</v>
      </c>
      <c r="E48" s="13"/>
      <c r="F48" s="5"/>
      <c r="G48" s="5"/>
      <c r="H48" s="5"/>
      <c r="I48" s="5">
        <f>1*I3</f>
        <v>0</v>
      </c>
      <c r="J48" s="5">
        <f>1*J3</f>
        <v>0</v>
      </c>
      <c r="K48" s="5"/>
      <c r="L48" s="5"/>
      <c r="M48" s="5"/>
      <c r="N48" s="5"/>
      <c r="O48" s="5">
        <f t="shared" si="0"/>
        <v>0</v>
      </c>
      <c r="P48" s="25">
        <f t="shared" si="4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ht="64" x14ac:dyDescent="0.2">
      <c r="A49" s="14" t="s">
        <v>16</v>
      </c>
      <c r="B49" s="14" t="s">
        <v>63</v>
      </c>
      <c r="C49" s="10" t="s">
        <v>0</v>
      </c>
      <c r="D49" s="11">
        <v>0.83</v>
      </c>
      <c r="E49" s="13">
        <f>1*E3</f>
        <v>0</v>
      </c>
      <c r="F49" s="13">
        <f>1*F3</f>
        <v>0</v>
      </c>
      <c r="G49" s="13">
        <f>1*G3</f>
        <v>0</v>
      </c>
      <c r="H49" s="13">
        <f>1*H3</f>
        <v>0</v>
      </c>
      <c r="I49" s="5"/>
      <c r="J49" s="5"/>
      <c r="K49" s="5"/>
      <c r="L49" s="5"/>
      <c r="M49" s="5"/>
      <c r="N49" s="5"/>
      <c r="O49" s="5">
        <f t="shared" si="0"/>
        <v>0</v>
      </c>
      <c r="P49" s="25">
        <f t="shared" si="4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ht="32" x14ac:dyDescent="0.2">
      <c r="A50" s="14" t="s">
        <v>17</v>
      </c>
      <c r="B50" s="14" t="s">
        <v>64</v>
      </c>
      <c r="C50" s="10"/>
      <c r="D50" s="11">
        <v>10.497199999999999</v>
      </c>
      <c r="E50" s="13">
        <f>2*E3</f>
        <v>0</v>
      </c>
      <c r="F50" s="13">
        <f>1*F3</f>
        <v>0</v>
      </c>
      <c r="G50" s="13">
        <f>2*G3</f>
        <v>0</v>
      </c>
      <c r="H50" s="13">
        <f>1*H3</f>
        <v>0</v>
      </c>
      <c r="I50" s="5">
        <f>2*I3</f>
        <v>0</v>
      </c>
      <c r="J50" s="5">
        <f>2*J3</f>
        <v>0</v>
      </c>
      <c r="K50" s="5"/>
      <c r="L50" s="5"/>
      <c r="M50" s="5"/>
      <c r="N50" s="5"/>
      <c r="O50" s="5">
        <f t="shared" si="0"/>
        <v>0</v>
      </c>
      <c r="P50" s="25">
        <f t="shared" si="4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ht="32" x14ac:dyDescent="0.2">
      <c r="A51" s="14" t="s">
        <v>174</v>
      </c>
      <c r="B51" s="48" t="s">
        <v>190</v>
      </c>
      <c r="C51" s="10"/>
      <c r="D51" s="11">
        <v>8.6295999999999999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f t="shared" si="0"/>
        <v>0</v>
      </c>
      <c r="P51" s="25">
        <f t="shared" si="4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ht="32" x14ac:dyDescent="0.2">
      <c r="A52" s="14" t="s">
        <v>175</v>
      </c>
      <c r="B52" s="48" t="s">
        <v>191</v>
      </c>
      <c r="C52" s="10"/>
      <c r="D52" s="11">
        <v>6.78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f t="shared" si="0"/>
        <v>0</v>
      </c>
      <c r="P52" s="25">
        <f t="shared" si="4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ht="32" x14ac:dyDescent="0.2">
      <c r="A53" s="14" t="s">
        <v>18</v>
      </c>
      <c r="B53" s="14" t="s">
        <v>65</v>
      </c>
      <c r="C53" s="10"/>
      <c r="D53" s="11">
        <v>6.78</v>
      </c>
      <c r="E53" s="13"/>
      <c r="F53" s="5"/>
      <c r="G53" s="5"/>
      <c r="H53" s="5"/>
      <c r="I53" s="5"/>
      <c r="J53" s="5"/>
      <c r="K53" s="5"/>
      <c r="L53" s="5"/>
      <c r="M53" s="5"/>
      <c r="N53" s="5"/>
      <c r="O53" s="5">
        <f t="shared" si="0"/>
        <v>0</v>
      </c>
      <c r="P53" s="25">
        <f t="shared" si="4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ht="32" x14ac:dyDescent="0.2">
      <c r="A54" s="14" t="s">
        <v>19</v>
      </c>
      <c r="B54" s="14" t="s">
        <v>66</v>
      </c>
      <c r="C54" s="10"/>
      <c r="D54" s="11">
        <v>2.6661599999999996</v>
      </c>
      <c r="E54" s="13"/>
      <c r="F54" s="5"/>
      <c r="G54" s="5">
        <f>2*G3</f>
        <v>0</v>
      </c>
      <c r="H54" s="5">
        <f>1*H3</f>
        <v>0</v>
      </c>
      <c r="I54" s="5">
        <f>2*I3</f>
        <v>0</v>
      </c>
      <c r="J54" s="5"/>
      <c r="K54" s="5"/>
      <c r="L54" s="5"/>
      <c r="M54" s="5"/>
      <c r="N54" s="5"/>
      <c r="O54" s="5">
        <f t="shared" si="0"/>
        <v>0</v>
      </c>
      <c r="P54" s="25">
        <f t="shared" ref="P54:P85" si="5">D54*O54</f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ht="32" x14ac:dyDescent="0.2">
      <c r="A55" s="14" t="s">
        <v>20</v>
      </c>
      <c r="B55" s="14" t="s">
        <v>67</v>
      </c>
      <c r="C55" s="10"/>
      <c r="D55" s="11">
        <v>3.4389599999999998</v>
      </c>
      <c r="E55" s="13">
        <f>2*E3</f>
        <v>0</v>
      </c>
      <c r="F55" s="13">
        <f>1*F3</f>
        <v>0</v>
      </c>
      <c r="G55" s="13"/>
      <c r="H55" s="13"/>
      <c r="I55" s="5"/>
      <c r="J55" s="5">
        <f>2*J3</f>
        <v>0</v>
      </c>
      <c r="K55" s="5"/>
      <c r="L55" s="5"/>
      <c r="M55" s="5"/>
      <c r="N55" s="5"/>
      <c r="O55" s="5">
        <f t="shared" si="0"/>
        <v>0</v>
      </c>
      <c r="P55" s="25">
        <f t="shared" si="5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ht="32" x14ac:dyDescent="0.2">
      <c r="A56" s="14" t="s">
        <v>21</v>
      </c>
      <c r="B56" s="14" t="s">
        <v>131</v>
      </c>
      <c r="C56" s="10"/>
      <c r="D56" s="11">
        <v>3.4389599999999998</v>
      </c>
      <c r="E56" s="13"/>
      <c r="F56" s="13"/>
      <c r="G56" s="13"/>
      <c r="H56" s="13"/>
      <c r="I56" s="5"/>
      <c r="J56" s="5">
        <f>2*J4</f>
        <v>0</v>
      </c>
      <c r="K56" s="5"/>
      <c r="L56" s="5"/>
      <c r="M56" s="5"/>
      <c r="N56" s="5"/>
      <c r="O56" s="5">
        <f t="shared" si="0"/>
        <v>0</v>
      </c>
      <c r="P56" s="25">
        <f t="shared" si="5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ht="64" x14ac:dyDescent="0.2">
      <c r="A57" s="14" t="s">
        <v>22</v>
      </c>
      <c r="B57" s="14" t="s">
        <v>70</v>
      </c>
      <c r="C57" s="10"/>
      <c r="D57" s="11">
        <v>0.15512465373961221</v>
      </c>
      <c r="E57" s="13">
        <f>2*E3</f>
        <v>0</v>
      </c>
      <c r="F57" s="13">
        <f>1*F3</f>
        <v>0</v>
      </c>
      <c r="G57" s="13">
        <f>2*G3</f>
        <v>0</v>
      </c>
      <c r="H57" s="13">
        <f>1*H3</f>
        <v>0</v>
      </c>
      <c r="I57" s="5">
        <f>2*I3</f>
        <v>0</v>
      </c>
      <c r="J57" s="5">
        <f>2*J3</f>
        <v>0</v>
      </c>
      <c r="K57" s="5"/>
      <c r="L57" s="5"/>
      <c r="M57" s="5"/>
      <c r="N57" s="5"/>
      <c r="O57" s="5">
        <f t="shared" si="0"/>
        <v>0</v>
      </c>
      <c r="P57" s="25">
        <f t="shared" si="5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ht="64" x14ac:dyDescent="0.2">
      <c r="A58" s="14" t="s">
        <v>23</v>
      </c>
      <c r="B58" s="14" t="s">
        <v>69</v>
      </c>
      <c r="C58" s="10"/>
      <c r="D58" s="11">
        <v>0.27922437673130196</v>
      </c>
      <c r="E58" s="13">
        <f>2*E3</f>
        <v>0</v>
      </c>
      <c r="F58" s="13">
        <f>1*F3</f>
        <v>0</v>
      </c>
      <c r="G58" s="13">
        <f>2*G3</f>
        <v>0</v>
      </c>
      <c r="H58" s="13">
        <f>1*H3</f>
        <v>0</v>
      </c>
      <c r="I58" s="5">
        <f>2*I3</f>
        <v>0</v>
      </c>
      <c r="J58" s="5">
        <f>2*J3</f>
        <v>0</v>
      </c>
      <c r="K58" s="5"/>
      <c r="L58" s="5"/>
      <c r="M58" s="5"/>
      <c r="N58" s="5"/>
      <c r="O58" s="5">
        <f t="shared" si="0"/>
        <v>0</v>
      </c>
      <c r="P58" s="25">
        <f t="shared" si="5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ht="64" x14ac:dyDescent="0.2">
      <c r="A59" s="14" t="s">
        <v>24</v>
      </c>
      <c r="B59" s="14" t="s">
        <v>68</v>
      </c>
      <c r="C59" s="10"/>
      <c r="D59" s="11">
        <v>0.12409972299168978</v>
      </c>
      <c r="E59" s="13">
        <f>2*E3</f>
        <v>0</v>
      </c>
      <c r="F59" s="13">
        <f>1*F3</f>
        <v>0</v>
      </c>
      <c r="G59" s="13">
        <f>2*G3</f>
        <v>0</v>
      </c>
      <c r="H59" s="13">
        <f>1*H3</f>
        <v>0</v>
      </c>
      <c r="I59" s="5">
        <f>2*I3</f>
        <v>0</v>
      </c>
      <c r="J59" s="5">
        <f>2*J3</f>
        <v>0</v>
      </c>
      <c r="K59" s="5"/>
      <c r="L59" s="5"/>
      <c r="M59" s="5"/>
      <c r="N59" s="5"/>
      <c r="O59" s="5">
        <f t="shared" si="0"/>
        <v>0</v>
      </c>
      <c r="P59" s="25">
        <f t="shared" si="5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ht="64" x14ac:dyDescent="0.2">
      <c r="A60" s="14" t="s">
        <v>25</v>
      </c>
      <c r="B60" s="14" t="s">
        <v>71</v>
      </c>
      <c r="C60" s="10"/>
      <c r="D60" s="11">
        <v>3.1024930747922445E-2</v>
      </c>
      <c r="E60" s="13">
        <f>2*E3</f>
        <v>0</v>
      </c>
      <c r="F60" s="13">
        <f>1*F3</f>
        <v>0</v>
      </c>
      <c r="G60" s="13">
        <f>2*G3</f>
        <v>0</v>
      </c>
      <c r="H60" s="13">
        <f>1*H3</f>
        <v>0</v>
      </c>
      <c r="I60" s="5">
        <f>2*I3</f>
        <v>0</v>
      </c>
      <c r="J60" s="5">
        <f>2*J3</f>
        <v>0</v>
      </c>
      <c r="K60" s="5"/>
      <c r="L60" s="5"/>
      <c r="M60" s="5"/>
      <c r="N60" s="5"/>
      <c r="O60" s="5">
        <f t="shared" si="0"/>
        <v>0</v>
      </c>
      <c r="P60" s="25">
        <f t="shared" si="5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ht="64" x14ac:dyDescent="0.2">
      <c r="A61" s="14" t="s">
        <v>26</v>
      </c>
      <c r="B61" s="14" t="s">
        <v>72</v>
      </c>
      <c r="C61" s="10"/>
      <c r="D61" s="11">
        <v>3.49</v>
      </c>
      <c r="E61" s="13"/>
      <c r="F61" s="5"/>
      <c r="G61" s="5"/>
      <c r="H61" s="5"/>
      <c r="I61" s="5"/>
      <c r="J61" s="5"/>
      <c r="K61" s="5"/>
      <c r="L61" s="5"/>
      <c r="M61" s="5"/>
      <c r="N61" s="5"/>
      <c r="O61" s="5">
        <f t="shared" si="0"/>
        <v>0</v>
      </c>
      <c r="P61" s="25">
        <f t="shared" si="5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ht="160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13"/>
      <c r="F62" s="5"/>
      <c r="G62" s="5"/>
      <c r="H62" s="5"/>
      <c r="I62" s="5"/>
      <c r="J62" s="5"/>
      <c r="K62" s="5"/>
      <c r="L62" s="5"/>
      <c r="M62" s="5"/>
      <c r="N62" s="5"/>
      <c r="O62" s="5">
        <f t="shared" si="0"/>
        <v>0</v>
      </c>
      <c r="P62" s="25">
        <f t="shared" si="5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ht="160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3"/>
      <c r="F63" s="5"/>
      <c r="G63" s="5"/>
      <c r="H63" s="5"/>
      <c r="I63" s="5"/>
      <c r="J63" s="5"/>
      <c r="K63" s="5"/>
      <c r="L63" s="5"/>
      <c r="M63" s="5"/>
      <c r="N63" s="5"/>
      <c r="O63" s="5">
        <f t="shared" si="0"/>
        <v>0</v>
      </c>
      <c r="P63" s="25">
        <f t="shared" si="5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ht="64" x14ac:dyDescent="0.2">
      <c r="A64" s="14" t="s">
        <v>29</v>
      </c>
      <c r="B64" s="14" t="s">
        <v>75</v>
      </c>
      <c r="C64" s="10"/>
      <c r="D64" s="11">
        <v>1.1399999999999999</v>
      </c>
      <c r="E64" s="13">
        <f>2*E3</f>
        <v>0</v>
      </c>
      <c r="F64" s="13">
        <f>1*F3</f>
        <v>0</v>
      </c>
      <c r="G64" s="13">
        <f>2*G3</f>
        <v>0</v>
      </c>
      <c r="H64" s="13">
        <f>1*H3</f>
        <v>0</v>
      </c>
      <c r="I64" s="5">
        <f>2*I3</f>
        <v>0</v>
      </c>
      <c r="J64" s="5">
        <f>2*J3</f>
        <v>0</v>
      </c>
      <c r="K64" s="5"/>
      <c r="L64" s="5"/>
      <c r="M64" s="5"/>
      <c r="N64" s="5"/>
      <c r="O64" s="5">
        <f t="shared" si="0"/>
        <v>0</v>
      </c>
      <c r="P64" s="25">
        <f t="shared" si="5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ht="32" x14ac:dyDescent="0.2">
      <c r="A65" s="14" t="s">
        <v>30</v>
      </c>
      <c r="B65" s="14" t="s">
        <v>76</v>
      </c>
      <c r="C65" s="10"/>
      <c r="D65" s="11">
        <v>1.22</v>
      </c>
      <c r="E65" s="13"/>
      <c r="F65" s="5"/>
      <c r="G65" s="5"/>
      <c r="H65" s="5"/>
      <c r="I65" s="5"/>
      <c r="J65" s="5"/>
      <c r="K65" s="5"/>
      <c r="L65" s="5"/>
      <c r="M65" s="5"/>
      <c r="N65" s="5"/>
      <c r="O65" s="5">
        <f t="shared" si="0"/>
        <v>0</v>
      </c>
      <c r="P65" s="25">
        <f t="shared" si="5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ht="64" x14ac:dyDescent="0.2">
      <c r="A66" s="14" t="s">
        <v>31</v>
      </c>
      <c r="B66" s="14" t="s">
        <v>187</v>
      </c>
      <c r="C66" s="10"/>
      <c r="D66" s="11">
        <v>2.15</v>
      </c>
      <c r="E66" s="13"/>
      <c r="F66" s="5"/>
      <c r="G66" s="5"/>
      <c r="H66" s="5"/>
      <c r="I66" s="5"/>
      <c r="J66" s="5"/>
      <c r="K66" s="5"/>
      <c r="L66" s="5"/>
      <c r="M66" s="5"/>
      <c r="N66" s="5"/>
      <c r="O66" s="5">
        <f t="shared" si="0"/>
        <v>0</v>
      </c>
      <c r="P66" s="25">
        <f t="shared" si="5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ht="64" x14ac:dyDescent="0.2">
      <c r="A67" s="14" t="s">
        <v>32</v>
      </c>
      <c r="B67" s="14" t="s">
        <v>77</v>
      </c>
      <c r="C67" s="10"/>
      <c r="D67" s="11">
        <v>5.5579999999999998</v>
      </c>
      <c r="E67" s="13">
        <f>1*E3</f>
        <v>0</v>
      </c>
      <c r="F67" s="13"/>
      <c r="G67" s="13">
        <f>1*G3</f>
        <v>0</v>
      </c>
      <c r="H67" s="5"/>
      <c r="I67" s="5">
        <f>1*I3</f>
        <v>0</v>
      </c>
      <c r="J67" s="5">
        <f>1*J3</f>
        <v>0</v>
      </c>
      <c r="K67" s="5"/>
      <c r="L67" s="5"/>
      <c r="M67" s="5"/>
      <c r="N67" s="5"/>
      <c r="O67" s="5">
        <f t="shared" si="0"/>
        <v>0</v>
      </c>
      <c r="P67" s="25">
        <f t="shared" si="5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ht="64" x14ac:dyDescent="0.2">
      <c r="A68" s="14" t="s">
        <v>33</v>
      </c>
      <c r="B68" s="14" t="s">
        <v>78</v>
      </c>
      <c r="C68" s="10"/>
      <c r="D68" s="11">
        <v>5.5579999999999998</v>
      </c>
      <c r="E68" s="13">
        <f>1*E3</f>
        <v>0</v>
      </c>
      <c r="F68" s="13"/>
      <c r="G68" s="13">
        <f>1*G3</f>
        <v>0</v>
      </c>
      <c r="H68" s="5"/>
      <c r="I68" s="5">
        <f>1*I3</f>
        <v>0</v>
      </c>
      <c r="J68" s="5">
        <f>1*J3</f>
        <v>0</v>
      </c>
      <c r="K68" s="5"/>
      <c r="L68" s="5"/>
      <c r="M68" s="5"/>
      <c r="N68" s="5"/>
      <c r="O68" s="5">
        <f t="shared" ref="O68:O90" si="6">SUM(E68:J68)</f>
        <v>0</v>
      </c>
      <c r="P68" s="25">
        <f t="shared" si="5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ht="64" x14ac:dyDescent="0.2">
      <c r="A69" s="14" t="s">
        <v>176</v>
      </c>
      <c r="B69" s="14" t="s">
        <v>192</v>
      </c>
      <c r="C69" s="10"/>
      <c r="D69" s="11">
        <v>5.5579999999999998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f t="shared" si="6"/>
        <v>0</v>
      </c>
      <c r="P69" s="25">
        <f t="shared" si="5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ht="64" x14ac:dyDescent="0.2">
      <c r="A70" s="14" t="s">
        <v>177</v>
      </c>
      <c r="B70" s="14" t="s">
        <v>193</v>
      </c>
      <c r="C70" s="10"/>
      <c r="D70" s="11">
        <v>5.5579999999999998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f t="shared" si="6"/>
        <v>0</v>
      </c>
      <c r="P70" s="25">
        <f t="shared" si="5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ht="64" x14ac:dyDescent="0.2">
      <c r="A71" s="14" t="s">
        <v>178</v>
      </c>
      <c r="B71" s="14" t="s">
        <v>194</v>
      </c>
      <c r="C71" s="10"/>
      <c r="D71" s="11">
        <v>5.5579999999999998</v>
      </c>
      <c r="O71" s="5">
        <f t="shared" si="6"/>
        <v>0</v>
      </c>
      <c r="P71" s="25">
        <f t="shared" si="5"/>
        <v>0</v>
      </c>
    </row>
    <row r="72" spans="1:40" ht="64" x14ac:dyDescent="0.2">
      <c r="A72" s="14" t="s">
        <v>179</v>
      </c>
      <c r="B72" s="14" t="s">
        <v>195</v>
      </c>
      <c r="C72" s="10"/>
      <c r="D72" s="11">
        <v>5.5579999999999998</v>
      </c>
      <c r="O72" s="5">
        <f t="shared" si="6"/>
        <v>0</v>
      </c>
      <c r="P72" s="25">
        <f t="shared" si="5"/>
        <v>0</v>
      </c>
    </row>
    <row r="73" spans="1:40" ht="64" x14ac:dyDescent="0.2">
      <c r="A73" s="14" t="s">
        <v>34</v>
      </c>
      <c r="B73" s="14" t="s">
        <v>79</v>
      </c>
      <c r="C73" s="10"/>
      <c r="D73" s="11">
        <v>3.3879999999999999</v>
      </c>
      <c r="E73" s="13"/>
      <c r="F73" s="5"/>
      <c r="G73" s="5"/>
      <c r="H73" s="5"/>
      <c r="I73" s="5"/>
      <c r="J73" s="5"/>
      <c r="K73" s="5"/>
      <c r="L73" s="5"/>
      <c r="M73" s="5"/>
      <c r="N73" s="5"/>
      <c r="O73" s="5">
        <f t="shared" si="6"/>
        <v>0</v>
      </c>
      <c r="P73" s="25">
        <f t="shared" si="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ht="64" x14ac:dyDescent="0.2">
      <c r="A74" s="14" t="s">
        <v>35</v>
      </c>
      <c r="B74" s="14" t="s">
        <v>80</v>
      </c>
      <c r="C74" s="10"/>
      <c r="D74" s="11">
        <v>3.3879999999999999</v>
      </c>
      <c r="E74" s="13"/>
      <c r="F74" s="5"/>
      <c r="G74" s="5"/>
      <c r="H74" s="5"/>
      <c r="I74" s="5"/>
      <c r="J74" s="5"/>
      <c r="K74" s="5"/>
      <c r="L74" s="5"/>
      <c r="M74" s="5"/>
      <c r="N74" s="5"/>
      <c r="O74" s="5">
        <f t="shared" si="6"/>
        <v>0</v>
      </c>
      <c r="P74" s="25">
        <f t="shared" si="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ht="64" x14ac:dyDescent="0.2">
      <c r="A75" s="14" t="s">
        <v>36</v>
      </c>
      <c r="B75" s="14" t="s">
        <v>81</v>
      </c>
      <c r="C75" s="10"/>
      <c r="D75" s="11">
        <v>2.1280000000000001</v>
      </c>
      <c r="E75" s="13"/>
      <c r="F75" s="5"/>
      <c r="G75" s="5"/>
      <c r="H75" s="5"/>
      <c r="I75" s="5"/>
      <c r="J75" s="5"/>
      <c r="K75" s="5"/>
      <c r="L75" s="5"/>
      <c r="M75" s="5"/>
      <c r="N75" s="5"/>
      <c r="O75" s="5">
        <f t="shared" si="6"/>
        <v>0</v>
      </c>
      <c r="P75" s="25">
        <f t="shared" si="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ht="64" x14ac:dyDescent="0.2">
      <c r="A76" s="14" t="s">
        <v>37</v>
      </c>
      <c r="B76" s="14" t="s">
        <v>82</v>
      </c>
      <c r="C76" s="10"/>
      <c r="D76" s="11">
        <v>2.702</v>
      </c>
      <c r="E76" s="13"/>
      <c r="F76" s="5"/>
      <c r="G76" s="5"/>
      <c r="H76" s="5"/>
      <c r="I76" s="5"/>
      <c r="J76" s="5"/>
      <c r="K76" s="5"/>
      <c r="L76" s="5"/>
      <c r="M76" s="5"/>
      <c r="N76" s="5"/>
      <c r="O76" s="5">
        <f t="shared" si="6"/>
        <v>0</v>
      </c>
      <c r="P76" s="25">
        <f t="shared" si="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ht="64" x14ac:dyDescent="0.2">
      <c r="A77" s="14" t="s">
        <v>38</v>
      </c>
      <c r="B77" s="14" t="s">
        <v>83</v>
      </c>
      <c r="C77" s="10"/>
      <c r="D77" s="11">
        <v>0.68599999999999994</v>
      </c>
      <c r="E77" s="13"/>
      <c r="F77" s="5"/>
      <c r="G77" s="5">
        <f>1*G3</f>
        <v>0</v>
      </c>
      <c r="H77" s="5"/>
      <c r="I77" s="5">
        <f>1*I3</f>
        <v>0</v>
      </c>
      <c r="J77" s="5"/>
      <c r="K77" s="5"/>
      <c r="L77" s="5"/>
      <c r="M77" s="5"/>
      <c r="N77" s="5"/>
      <c r="O77" s="5">
        <f t="shared" si="6"/>
        <v>0</v>
      </c>
      <c r="P77" s="25">
        <f t="shared" si="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ht="64" x14ac:dyDescent="0.2">
      <c r="A78" s="14" t="s">
        <v>39</v>
      </c>
      <c r="B78" s="14" t="s">
        <v>84</v>
      </c>
      <c r="C78" s="10"/>
      <c r="D78" s="11">
        <v>0.68599999999999994</v>
      </c>
      <c r="E78" s="13"/>
      <c r="F78" s="5"/>
      <c r="G78" s="5">
        <f>1*G3</f>
        <v>0</v>
      </c>
      <c r="H78" s="5"/>
      <c r="I78" s="5">
        <f>1*I3</f>
        <v>0</v>
      </c>
      <c r="J78" s="5"/>
      <c r="K78" s="5"/>
      <c r="L78" s="5"/>
      <c r="M78" s="5"/>
      <c r="N78" s="5"/>
      <c r="O78" s="5">
        <f t="shared" si="6"/>
        <v>0</v>
      </c>
      <c r="P78" s="25">
        <f t="shared" si="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ht="64" x14ac:dyDescent="0.2">
      <c r="A79" s="14" t="s">
        <v>40</v>
      </c>
      <c r="B79" s="14" t="s">
        <v>85</v>
      </c>
      <c r="C79" s="10"/>
      <c r="D79" s="11">
        <v>0.98</v>
      </c>
      <c r="E79" s="13">
        <f>1*E3</f>
        <v>0</v>
      </c>
      <c r="F79" s="5"/>
      <c r="G79" s="5"/>
      <c r="H79" s="5"/>
      <c r="I79" s="5"/>
      <c r="J79" s="5">
        <f>1*J3</f>
        <v>0</v>
      </c>
      <c r="K79" s="5"/>
      <c r="L79" s="5"/>
      <c r="M79" s="5"/>
      <c r="N79" s="5"/>
      <c r="O79" s="5">
        <f t="shared" si="6"/>
        <v>0</v>
      </c>
      <c r="P79" s="25">
        <f t="shared" si="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ht="64" x14ac:dyDescent="0.2">
      <c r="A80" s="14" t="s">
        <v>41</v>
      </c>
      <c r="B80" s="15" t="s">
        <v>254</v>
      </c>
      <c r="C80" s="16"/>
      <c r="D80" s="11">
        <v>0.98</v>
      </c>
      <c r="E80" s="13">
        <f>1*E3</f>
        <v>0</v>
      </c>
      <c r="F80" s="5"/>
      <c r="G80" s="5"/>
      <c r="H80" s="5"/>
      <c r="I80" s="5"/>
      <c r="J80" s="5">
        <f>1*J3</f>
        <v>0</v>
      </c>
      <c r="K80" s="5"/>
      <c r="L80" s="5"/>
      <c r="M80" s="5"/>
      <c r="N80" s="5"/>
      <c r="O80" s="5">
        <f t="shared" si="6"/>
        <v>0</v>
      </c>
      <c r="P80" s="25">
        <f t="shared" si="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ht="64" x14ac:dyDescent="0.2">
      <c r="A81" s="14" t="s">
        <v>136</v>
      </c>
      <c r="B81" s="14" t="s">
        <v>132</v>
      </c>
      <c r="C81" s="10"/>
      <c r="D81" s="11">
        <v>0.98</v>
      </c>
      <c r="E81" s="13"/>
      <c r="F81" s="5"/>
      <c r="G81" s="5"/>
      <c r="H81" s="5"/>
      <c r="I81" s="5"/>
      <c r="J81" s="5">
        <f>1*J5</f>
        <v>0</v>
      </c>
      <c r="K81" s="5"/>
      <c r="L81" s="5"/>
      <c r="M81" s="5"/>
      <c r="N81" s="5"/>
      <c r="O81" s="5">
        <f t="shared" si="6"/>
        <v>0</v>
      </c>
      <c r="P81" s="25">
        <f t="shared" si="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ht="64" x14ac:dyDescent="0.2">
      <c r="A82" s="14" t="s">
        <v>137</v>
      </c>
      <c r="B82" s="15" t="s">
        <v>255</v>
      </c>
      <c r="C82" s="16"/>
      <c r="D82" s="11">
        <v>0.98</v>
      </c>
      <c r="E82" s="13"/>
      <c r="F82" s="5"/>
      <c r="G82" s="5"/>
      <c r="H82" s="5"/>
      <c r="I82" s="5"/>
      <c r="J82" s="5">
        <f>1*J5</f>
        <v>0</v>
      </c>
      <c r="K82" s="5"/>
      <c r="L82" s="5"/>
      <c r="M82" s="5"/>
      <c r="N82" s="5"/>
      <c r="O82" s="5">
        <f t="shared" si="6"/>
        <v>0</v>
      </c>
      <c r="P82" s="25">
        <f t="shared" si="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ht="128" x14ac:dyDescent="0.2">
      <c r="A83" s="10" t="s">
        <v>154</v>
      </c>
      <c r="B83" s="10" t="s">
        <v>155</v>
      </c>
      <c r="C83" s="10"/>
      <c r="D83" s="11">
        <v>19.137999999999998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f t="shared" si="6"/>
        <v>0</v>
      </c>
      <c r="P83" s="25">
        <f t="shared" si="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ht="288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f t="shared" si="6"/>
        <v>0</v>
      </c>
      <c r="P84" s="25">
        <f t="shared" si="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ht="288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 t="shared" si="6"/>
        <v>0</v>
      </c>
      <c r="P85" s="25">
        <f t="shared" si="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ht="288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f t="shared" si="6"/>
        <v>0</v>
      </c>
      <c r="P86" s="25">
        <f t="shared" ref="P86:P90" si="7">D86*O86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ht="128" x14ac:dyDescent="0.2">
      <c r="A87" s="14" t="s">
        <v>180</v>
      </c>
      <c r="B87" s="10" t="s">
        <v>181</v>
      </c>
      <c r="C87" s="10"/>
      <c r="D87" s="11">
        <v>0.75</v>
      </c>
      <c r="O87" s="5">
        <f t="shared" si="6"/>
        <v>0</v>
      </c>
      <c r="P87" s="25">
        <f t="shared" si="7"/>
        <v>0</v>
      </c>
    </row>
    <row r="88" spans="1:40" ht="128" x14ac:dyDescent="0.2">
      <c r="A88" s="14" t="s">
        <v>182</v>
      </c>
      <c r="B88" s="10" t="s">
        <v>183</v>
      </c>
      <c r="C88" s="10"/>
      <c r="D88" s="11">
        <v>0.75</v>
      </c>
      <c r="O88" s="5">
        <f t="shared" si="6"/>
        <v>0</v>
      </c>
      <c r="P88" s="25">
        <f t="shared" si="7"/>
        <v>0</v>
      </c>
    </row>
    <row r="89" spans="1:40" ht="128" x14ac:dyDescent="0.2">
      <c r="A89" s="14" t="s">
        <v>184</v>
      </c>
      <c r="B89" s="10" t="s">
        <v>185</v>
      </c>
      <c r="C89" s="10"/>
      <c r="D89" s="11">
        <v>0.75</v>
      </c>
      <c r="O89" s="5">
        <f t="shared" si="6"/>
        <v>0</v>
      </c>
      <c r="P89" s="25">
        <f t="shared" si="7"/>
        <v>0</v>
      </c>
    </row>
    <row r="90" spans="1:40" ht="128" x14ac:dyDescent="0.2">
      <c r="A90" s="14" t="s">
        <v>186</v>
      </c>
      <c r="B90" s="14" t="s">
        <v>256</v>
      </c>
      <c r="C90" s="10"/>
      <c r="D90" s="11">
        <v>0.75</v>
      </c>
      <c r="O90" s="5">
        <f t="shared" si="6"/>
        <v>0</v>
      </c>
      <c r="P90" s="25">
        <f t="shared" si="7"/>
        <v>0</v>
      </c>
    </row>
    <row r="92" spans="1:40" x14ac:dyDescent="0.2">
      <c r="O92" s="1" t="s">
        <v>324</v>
      </c>
      <c r="P92" s="12">
        <f>SUM(P4:P90)</f>
        <v>0</v>
      </c>
    </row>
  </sheetData>
  <printOptions headings="1" gridLines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8685-F18A-8645-B233-6E6BF3354D87}">
  <sheetPr>
    <tabColor rgb="FF00B050"/>
  </sheetPr>
  <dimension ref="A1:AN92"/>
  <sheetViews>
    <sheetView topLeftCell="E1" zoomScale="75" zoomScaleNormal="75" workbookViewId="0">
      <selection activeCell="L3" sqref="L3"/>
    </sheetView>
  </sheetViews>
  <sheetFormatPr baseColWidth="10" defaultRowHeight="31" x14ac:dyDescent="0.35"/>
  <cols>
    <col min="1" max="1" width="40.5" style="1" customWidth="1"/>
    <col min="2" max="2" width="55.1640625" style="1" customWidth="1"/>
    <col min="3" max="3" width="58.5" style="1" customWidth="1"/>
    <col min="4" max="4" width="60" style="1" customWidth="1"/>
    <col min="5" max="5" width="67.33203125" style="1" customWidth="1"/>
    <col min="6" max="6" width="56.6640625" style="1" customWidth="1"/>
    <col min="7" max="7" width="43.6640625" style="1" customWidth="1"/>
    <col min="8" max="8" width="47.6640625" style="1" customWidth="1"/>
    <col min="9" max="9" width="34.83203125" style="1" customWidth="1"/>
    <col min="10" max="10" width="61.5" style="1" customWidth="1"/>
    <col min="11" max="11" width="5.5" style="1" customWidth="1"/>
    <col min="12" max="12" width="3.5" style="1" customWidth="1"/>
    <col min="13" max="13" width="4.5" style="1" customWidth="1"/>
    <col min="14" max="14" width="2.83203125" style="1" customWidth="1"/>
    <col min="15" max="15" width="37.1640625" style="1" customWidth="1"/>
    <col min="16" max="16" width="45.5" style="1" customWidth="1"/>
    <col min="17" max="16384" width="10.83203125" style="1"/>
  </cols>
  <sheetData>
    <row r="1" spans="1:40" s="51" customFormat="1" ht="184" customHeight="1" x14ac:dyDescent="0.35">
      <c r="A1" s="2" t="s">
        <v>88</v>
      </c>
      <c r="B1" s="2" t="s">
        <v>89</v>
      </c>
      <c r="C1" s="3" t="s">
        <v>86</v>
      </c>
      <c r="D1" s="3" t="s">
        <v>87</v>
      </c>
      <c r="E1" s="49" t="s">
        <v>276</v>
      </c>
      <c r="F1" s="49" t="s">
        <v>277</v>
      </c>
      <c r="G1" s="49" t="s">
        <v>278</v>
      </c>
      <c r="H1" s="49" t="s">
        <v>279</v>
      </c>
      <c r="I1" s="49" t="s">
        <v>280</v>
      </c>
      <c r="J1" s="49" t="s">
        <v>281</v>
      </c>
      <c r="K1" s="49"/>
      <c r="L1" s="49"/>
      <c r="M1" s="49"/>
      <c r="N1" s="49"/>
      <c r="O1" s="5"/>
      <c r="P1" s="5"/>
      <c r="Q1" s="5"/>
      <c r="R1" s="5"/>
      <c r="S1" s="5"/>
      <c r="T1" s="5"/>
      <c r="U1" s="5"/>
      <c r="V1" s="5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</row>
    <row r="2" spans="1:40" s="51" customFormat="1" ht="184" customHeight="1" x14ac:dyDescent="0.35">
      <c r="A2" s="2"/>
      <c r="B2" s="2"/>
      <c r="C2" s="3"/>
      <c r="D2" s="3"/>
      <c r="E2" s="49"/>
      <c r="F2" s="49"/>
      <c r="G2" s="49"/>
      <c r="H2" s="49"/>
      <c r="I2" s="49"/>
      <c r="J2" s="49"/>
      <c r="K2" s="49"/>
      <c r="L2" s="49"/>
      <c r="M2" s="49"/>
      <c r="N2" s="49"/>
      <c r="O2" s="5"/>
      <c r="P2" s="5"/>
      <c r="Q2" s="5"/>
      <c r="R2" s="5"/>
      <c r="S2" s="5"/>
      <c r="T2" s="5"/>
      <c r="U2" s="5"/>
      <c r="V2" s="5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</row>
    <row r="3" spans="1:40" s="24" customFormat="1" ht="184" customHeight="1" x14ac:dyDescent="0.2">
      <c r="A3" s="2"/>
      <c r="B3" s="2"/>
      <c r="C3" s="3"/>
      <c r="D3" s="3" t="s">
        <v>125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/>
      <c r="L3" s="7"/>
      <c r="M3" s="7"/>
      <c r="N3" s="7"/>
      <c r="O3" s="7" t="s">
        <v>114</v>
      </c>
      <c r="P3" s="24" t="s">
        <v>124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64" x14ac:dyDescent="0.35">
      <c r="A4" s="9" t="s">
        <v>108</v>
      </c>
      <c r="B4" s="9" t="s">
        <v>42</v>
      </c>
      <c r="C4" s="10"/>
      <c r="D4" s="11">
        <v>3.2071200000000002</v>
      </c>
      <c r="E4" s="5"/>
      <c r="F4" s="5"/>
      <c r="G4" s="5"/>
      <c r="H4" s="5"/>
      <c r="I4" s="5">
        <f>4*I3</f>
        <v>0</v>
      </c>
      <c r="J4" s="5">
        <f>4*J3</f>
        <v>0</v>
      </c>
      <c r="K4" s="5"/>
      <c r="L4" s="5"/>
      <c r="M4" s="5"/>
      <c r="N4" s="5"/>
      <c r="O4" s="5">
        <f t="shared" ref="O4:O12" si="0">SUM(E4:J4)</f>
        <v>0</v>
      </c>
      <c r="P4" s="25">
        <f t="shared" ref="P4:P18" si="1">D4*O4</f>
        <v>0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ht="64" x14ac:dyDescent="0.35">
      <c r="A5" s="9" t="s">
        <v>109</v>
      </c>
      <c r="B5" s="9" t="s">
        <v>43</v>
      </c>
      <c r="C5" s="10"/>
      <c r="D5" s="11">
        <v>4.1087199999999999</v>
      </c>
      <c r="E5" s="5"/>
      <c r="F5" s="5"/>
      <c r="G5" s="5"/>
      <c r="H5" s="5"/>
      <c r="I5" s="5">
        <f>1*I3</f>
        <v>0</v>
      </c>
      <c r="J5" s="5">
        <f>1*J3</f>
        <v>0</v>
      </c>
      <c r="K5" s="5"/>
      <c r="L5" s="5"/>
      <c r="M5" s="5"/>
      <c r="N5" s="5"/>
      <c r="O5" s="5">
        <f t="shared" si="0"/>
        <v>0</v>
      </c>
      <c r="P5" s="25">
        <f t="shared" si="1"/>
        <v>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ht="64" x14ac:dyDescent="0.35">
      <c r="A6" s="9" t="s">
        <v>110</v>
      </c>
      <c r="B6" s="9" t="s">
        <v>44</v>
      </c>
      <c r="C6" s="10"/>
      <c r="D6" s="11">
        <v>3.47</v>
      </c>
      <c r="E6" s="13">
        <f>4*E3</f>
        <v>0</v>
      </c>
      <c r="F6" s="13">
        <f>4*F3</f>
        <v>0</v>
      </c>
      <c r="G6" s="13">
        <f t="shared" ref="G6:H6" si="2">4*G3</f>
        <v>0</v>
      </c>
      <c r="H6" s="13">
        <f t="shared" si="2"/>
        <v>0</v>
      </c>
      <c r="I6" s="5"/>
      <c r="J6" s="5"/>
      <c r="K6" s="5"/>
      <c r="L6" s="5"/>
      <c r="M6" s="5"/>
      <c r="N6" s="5"/>
      <c r="O6" s="5">
        <f t="shared" si="0"/>
        <v>0</v>
      </c>
      <c r="P6" s="25">
        <f t="shared" si="1"/>
        <v>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ht="64" x14ac:dyDescent="0.35">
      <c r="A7" s="9" t="s">
        <v>111</v>
      </c>
      <c r="B7" s="9" t="s">
        <v>45</v>
      </c>
      <c r="C7" s="10"/>
      <c r="D7" s="11">
        <v>4.2699999999999996</v>
      </c>
      <c r="E7" s="13">
        <f>1*E3</f>
        <v>0</v>
      </c>
      <c r="F7" s="13">
        <f>1*F3</f>
        <v>0</v>
      </c>
      <c r="G7" s="13">
        <f t="shared" ref="G7:H7" si="3">1*G3</f>
        <v>0</v>
      </c>
      <c r="H7" s="13">
        <f t="shared" si="3"/>
        <v>0</v>
      </c>
      <c r="I7" s="5"/>
      <c r="J7" s="5"/>
      <c r="K7" s="5"/>
      <c r="L7" s="5"/>
      <c r="M7" s="5"/>
      <c r="N7" s="5"/>
      <c r="O7" s="5">
        <f t="shared" si="0"/>
        <v>0</v>
      </c>
      <c r="P7" s="25">
        <f t="shared" si="1"/>
        <v>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64" x14ac:dyDescent="0.35">
      <c r="A8" s="9" t="s">
        <v>112</v>
      </c>
      <c r="B8" s="9" t="s">
        <v>46</v>
      </c>
      <c r="C8" s="10"/>
      <c r="D8" s="11">
        <v>6.23</v>
      </c>
      <c r="E8" s="13"/>
      <c r="F8" s="5"/>
      <c r="G8" s="5"/>
      <c r="H8" s="5"/>
      <c r="I8" s="5"/>
      <c r="J8" s="5"/>
      <c r="K8" s="5"/>
      <c r="L8" s="5"/>
      <c r="M8" s="5"/>
      <c r="N8" s="5"/>
      <c r="O8" s="5">
        <f t="shared" si="0"/>
        <v>0</v>
      </c>
      <c r="P8" s="25">
        <f t="shared" si="1"/>
        <v>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ht="64" x14ac:dyDescent="0.35">
      <c r="A9" s="9" t="s">
        <v>113</v>
      </c>
      <c r="B9" s="9" t="s">
        <v>47</v>
      </c>
      <c r="C9" s="10"/>
      <c r="D9" s="11">
        <v>7.6579999999999995</v>
      </c>
      <c r="E9" s="13"/>
      <c r="F9" s="5"/>
      <c r="G9" s="5"/>
      <c r="H9" s="5"/>
      <c r="I9" s="5"/>
      <c r="J9" s="5"/>
      <c r="K9" s="5"/>
      <c r="L9" s="5"/>
      <c r="M9" s="5"/>
      <c r="N9" s="5"/>
      <c r="O9" s="5">
        <f t="shared" si="0"/>
        <v>0</v>
      </c>
      <c r="P9" s="25">
        <f t="shared" si="1"/>
        <v>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ht="207" customHeight="1" x14ac:dyDescent="0.35">
      <c r="A10" s="9" t="s">
        <v>119</v>
      </c>
      <c r="B10" s="9" t="s">
        <v>48</v>
      </c>
      <c r="C10" s="10" t="s">
        <v>90</v>
      </c>
      <c r="D10" s="11">
        <v>2.4472</v>
      </c>
      <c r="E10" s="13"/>
      <c r="F10" s="5"/>
      <c r="G10" s="5"/>
      <c r="H10" s="5"/>
      <c r="I10" s="5">
        <f>1*I3</f>
        <v>0</v>
      </c>
      <c r="J10" s="5"/>
      <c r="K10" s="5"/>
      <c r="L10" s="5"/>
      <c r="M10" s="5"/>
      <c r="N10" s="5"/>
      <c r="O10" s="5">
        <f t="shared" si="0"/>
        <v>0</v>
      </c>
      <c r="P10" s="25">
        <f t="shared" si="1"/>
        <v>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ht="96" x14ac:dyDescent="0.2">
      <c r="A11" s="9" t="s">
        <v>3</v>
      </c>
      <c r="B11" s="9" t="s">
        <v>49</v>
      </c>
      <c r="C11" s="10" t="s">
        <v>90</v>
      </c>
      <c r="D11" s="11">
        <v>3.3874399999999998</v>
      </c>
      <c r="E11" s="13"/>
      <c r="F11" s="5"/>
      <c r="G11" s="5">
        <f>1*G3</f>
        <v>0</v>
      </c>
      <c r="H11" s="5">
        <f>1*H3</f>
        <v>0</v>
      </c>
      <c r="I11" s="5"/>
      <c r="J11" s="5"/>
      <c r="K11" s="5"/>
      <c r="L11" s="5"/>
      <c r="M11" s="5"/>
      <c r="N11" s="5"/>
      <c r="O11" s="5">
        <f t="shared" si="0"/>
        <v>0</v>
      </c>
      <c r="P11" s="25">
        <f t="shared" si="1"/>
        <v>0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28" x14ac:dyDescent="0.2">
      <c r="A12" s="9" t="s">
        <v>3</v>
      </c>
      <c r="B12" s="9" t="s">
        <v>50</v>
      </c>
      <c r="C12" s="10" t="s">
        <v>91</v>
      </c>
      <c r="D12" s="11">
        <v>3.3874399999999998</v>
      </c>
      <c r="E12" s="13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25">
        <f t="shared" si="1"/>
        <v>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ht="128" x14ac:dyDescent="0.2">
      <c r="A13" s="9" t="s">
        <v>4</v>
      </c>
      <c r="B13" s="9" t="s">
        <v>51</v>
      </c>
      <c r="C13" s="10" t="s">
        <v>91</v>
      </c>
      <c r="D13" s="11">
        <v>4.0571999999999999</v>
      </c>
      <c r="E13" s="13"/>
      <c r="F13" s="5"/>
      <c r="G13" s="5"/>
      <c r="H13" s="5"/>
      <c r="I13" s="5"/>
      <c r="J13" s="5"/>
      <c r="K13" s="5"/>
      <c r="L13" s="5"/>
      <c r="M13" s="5"/>
      <c r="N13" s="5"/>
      <c r="O13" s="5">
        <f t="shared" ref="O13:O16" si="4">SUM(E13:J13)</f>
        <v>0</v>
      </c>
      <c r="P13" s="25">
        <f t="shared" si="1"/>
        <v>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128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E14" s="13"/>
      <c r="F14" s="5"/>
      <c r="G14" s="5"/>
      <c r="H14" s="5"/>
      <c r="I14" s="5"/>
      <c r="J14" s="5"/>
      <c r="K14" s="5"/>
      <c r="L14" s="5"/>
      <c r="M14" s="5"/>
      <c r="N14" s="5"/>
      <c r="O14" s="5">
        <f t="shared" si="4"/>
        <v>0</v>
      </c>
      <c r="P14" s="25">
        <f t="shared" si="1"/>
        <v>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128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E15" s="13"/>
      <c r="F15" s="5"/>
      <c r="G15" s="5"/>
      <c r="H15" s="5"/>
      <c r="I15" s="5"/>
      <c r="J15" s="5"/>
      <c r="K15" s="5"/>
      <c r="L15" s="5"/>
      <c r="M15" s="5"/>
      <c r="N15" s="5"/>
      <c r="O15" s="5">
        <f t="shared" si="4"/>
        <v>0</v>
      </c>
      <c r="P15" s="25">
        <f t="shared" si="1"/>
        <v>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E16" s="13"/>
      <c r="F16" s="5"/>
      <c r="G16" s="5"/>
      <c r="H16" s="5"/>
      <c r="I16" s="5"/>
      <c r="J16" s="5"/>
      <c r="K16" s="5"/>
      <c r="L16" s="5"/>
      <c r="M16" s="5"/>
      <c r="N16" s="5"/>
      <c r="O16" s="5">
        <f t="shared" si="4"/>
        <v>0</v>
      </c>
      <c r="P16" s="25">
        <f t="shared" si="1"/>
        <v>0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E17" s="13"/>
      <c r="F17" s="5"/>
      <c r="G17" s="5"/>
      <c r="H17" s="5"/>
      <c r="I17" s="5"/>
      <c r="J17" s="5"/>
      <c r="K17" s="5"/>
      <c r="L17" s="5"/>
      <c r="M17" s="5"/>
      <c r="N17" s="5"/>
      <c r="O17" s="5">
        <f t="shared" ref="O17" si="5">SUM(E17:J17)</f>
        <v>0</v>
      </c>
      <c r="P17" s="25">
        <f t="shared" si="1"/>
        <v>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13"/>
      <c r="F18" s="13"/>
      <c r="G18" s="5"/>
      <c r="H18" s="5"/>
      <c r="I18" s="5"/>
      <c r="J18" s="5">
        <f>1*J3</f>
        <v>0</v>
      </c>
      <c r="K18" s="5"/>
      <c r="L18" s="5"/>
      <c r="M18" s="5"/>
      <c r="N18" s="5"/>
      <c r="O18" s="5">
        <f>SUM(E18:J18)</f>
        <v>0</v>
      </c>
      <c r="P18" s="25">
        <f t="shared" si="1"/>
        <v>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96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13"/>
      <c r="F19" s="13"/>
      <c r="G19" s="5"/>
      <c r="H19" s="5"/>
      <c r="I19" s="5"/>
      <c r="J19" s="5"/>
      <c r="K19" s="5"/>
      <c r="L19" s="5"/>
      <c r="M19" s="5"/>
      <c r="N19" s="5"/>
      <c r="O19" s="5"/>
      <c r="P19" s="2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3">
        <f>1*E3</f>
        <v>0</v>
      </c>
      <c r="F20" s="13">
        <f>1*F3</f>
        <v>0</v>
      </c>
      <c r="G20" s="5"/>
      <c r="H20" s="5"/>
      <c r="I20" s="5"/>
      <c r="J20" s="5"/>
      <c r="K20" s="5"/>
      <c r="L20" s="5"/>
      <c r="M20" s="5"/>
      <c r="N20" s="5"/>
      <c r="O20" s="5">
        <f t="shared" ref="O20:O27" si="6">SUM(E20:J20)</f>
        <v>0</v>
      </c>
      <c r="P20" s="25">
        <f t="shared" ref="P20:P51" si="7">D20*O20</f>
        <v>0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ht="96" x14ac:dyDescent="0.2">
      <c r="A21" s="9" t="s">
        <v>5</v>
      </c>
      <c r="B21" s="9" t="s">
        <v>53</v>
      </c>
      <c r="C21" s="10" t="s">
        <v>90</v>
      </c>
      <c r="D21" s="11">
        <v>5.3</v>
      </c>
      <c r="E21" s="13"/>
      <c r="F21" s="5"/>
      <c r="G21" s="5"/>
      <c r="H21" s="5"/>
      <c r="I21" s="5"/>
      <c r="J21" s="5"/>
      <c r="K21" s="5"/>
      <c r="L21" s="5"/>
      <c r="M21" s="5"/>
      <c r="N21" s="5"/>
      <c r="O21" s="5">
        <f t="shared" si="6"/>
        <v>0</v>
      </c>
      <c r="P21" s="25">
        <f t="shared" si="7"/>
        <v>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ht="128" x14ac:dyDescent="0.2">
      <c r="A22" s="9" t="s">
        <v>201</v>
      </c>
      <c r="B22" s="9" t="s">
        <v>198</v>
      </c>
      <c r="C22" s="10" t="s">
        <v>92</v>
      </c>
      <c r="D22" s="11">
        <v>5.3065600000000011</v>
      </c>
      <c r="E22" s="13"/>
      <c r="F22" s="5"/>
      <c r="G22" s="5"/>
      <c r="H22" s="5"/>
      <c r="I22" s="5"/>
      <c r="J22" s="5"/>
      <c r="K22" s="5"/>
      <c r="L22" s="5"/>
      <c r="M22" s="5"/>
      <c r="N22" s="5"/>
      <c r="O22" s="5">
        <f t="shared" si="6"/>
        <v>0</v>
      </c>
      <c r="P22" s="25">
        <f t="shared" si="7"/>
        <v>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ht="133" customHeight="1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6"/>
        <v>0</v>
      </c>
      <c r="P23" s="25">
        <f t="shared" si="7"/>
        <v>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ht="64" x14ac:dyDescent="0.2">
      <c r="A24" s="9" t="s">
        <v>162</v>
      </c>
      <c r="B24" s="9" t="s">
        <v>163</v>
      </c>
      <c r="C24" s="10"/>
      <c r="D24" s="11">
        <v>0.24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6"/>
        <v>0</v>
      </c>
      <c r="P24" s="25">
        <f t="shared" si="7"/>
        <v>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ht="64" x14ac:dyDescent="0.2">
      <c r="A25" s="9" t="s">
        <v>164</v>
      </c>
      <c r="B25" s="9" t="s">
        <v>165</v>
      </c>
      <c r="C25" s="10"/>
      <c r="D25" s="11">
        <v>0.17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6"/>
        <v>0</v>
      </c>
      <c r="P25" s="25">
        <f t="shared" si="7"/>
        <v>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ht="128" x14ac:dyDescent="0.2">
      <c r="A26" s="14" t="s">
        <v>166</v>
      </c>
      <c r="B26" s="14" t="s">
        <v>167</v>
      </c>
      <c r="C26" s="10"/>
      <c r="D26" s="11">
        <v>7.2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6"/>
        <v>0</v>
      </c>
      <c r="P26" s="25">
        <f t="shared" si="7"/>
        <v>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ht="128" x14ac:dyDescent="0.2">
      <c r="A27" s="78" t="s">
        <v>316</v>
      </c>
      <c r="B27" s="14" t="s">
        <v>169</v>
      </c>
      <c r="C27" s="10"/>
      <c r="D27" s="11">
        <v>7.2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6"/>
        <v>0</v>
      </c>
      <c r="P27" s="25">
        <f t="shared" si="7"/>
        <v>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ht="128" x14ac:dyDescent="0.2">
      <c r="A28" s="78" t="s">
        <v>314</v>
      </c>
      <c r="B28" s="14" t="s">
        <v>315</v>
      </c>
      <c r="C28" s="10"/>
      <c r="D28" s="11">
        <v>7.2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ref="O28" si="8">SUM(E28:J28)</f>
        <v>0</v>
      </c>
      <c r="P28" s="25">
        <f t="shared" si="7"/>
        <v>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ht="128" x14ac:dyDescent="0.2">
      <c r="A29" s="14" t="s">
        <v>170</v>
      </c>
      <c r="B29" s="14" t="s">
        <v>171</v>
      </c>
      <c r="C29" s="10"/>
      <c r="D29" s="11">
        <v>7.2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>SUM(E29:J29)</f>
        <v>0</v>
      </c>
      <c r="P29" s="25">
        <f t="shared" si="7"/>
        <v>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128" x14ac:dyDescent="0.2">
      <c r="A30" s="78" t="s">
        <v>312</v>
      </c>
      <c r="B30" s="14" t="s">
        <v>173</v>
      </c>
      <c r="C30" s="10"/>
      <c r="D30" s="11">
        <v>7.2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ref="O30" si="9">SUM(E30:J30)</f>
        <v>0</v>
      </c>
      <c r="P30" s="25">
        <f t="shared" si="7"/>
        <v>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ht="128" x14ac:dyDescent="0.2">
      <c r="A31" s="14" t="s">
        <v>172</v>
      </c>
      <c r="B31" s="14" t="s">
        <v>173</v>
      </c>
      <c r="C31" s="10"/>
      <c r="D31" s="11">
        <v>7.2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ref="O31:O75" si="10">SUM(E31:J31)</f>
        <v>0</v>
      </c>
      <c r="P31" s="25">
        <f t="shared" si="7"/>
        <v>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13"/>
      <c r="F32" s="5"/>
      <c r="G32" s="5"/>
      <c r="H32" s="5"/>
      <c r="I32" s="5"/>
      <c r="J32" s="5"/>
      <c r="K32" s="5"/>
      <c r="L32" s="5"/>
      <c r="M32" s="5"/>
      <c r="N32" s="5"/>
      <c r="O32" s="5">
        <f t="shared" si="10"/>
        <v>0</v>
      </c>
      <c r="P32" s="25">
        <f t="shared" si="7"/>
        <v>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13"/>
      <c r="F33" s="13"/>
      <c r="G33" s="5"/>
      <c r="H33" s="5"/>
      <c r="I33" s="5">
        <f>9*I3</f>
        <v>0</v>
      </c>
      <c r="J33" s="5"/>
      <c r="K33" s="5"/>
      <c r="L33" s="5"/>
      <c r="M33" s="5"/>
      <c r="N33" s="5"/>
      <c r="O33" s="5">
        <f t="shared" si="10"/>
        <v>0</v>
      </c>
      <c r="P33" s="25">
        <f t="shared" si="7"/>
        <v>0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13"/>
      <c r="F34" s="13"/>
      <c r="G34" s="5">
        <f>9*G3</f>
        <v>0</v>
      </c>
      <c r="H34" s="5">
        <f>9*H3</f>
        <v>0</v>
      </c>
      <c r="I34" s="5"/>
      <c r="J34" s="5"/>
      <c r="K34" s="5"/>
      <c r="L34" s="5"/>
      <c r="M34" s="5"/>
      <c r="N34" s="5"/>
      <c r="O34" s="5">
        <f t="shared" si="10"/>
        <v>0</v>
      </c>
      <c r="P34" s="25">
        <f t="shared" si="7"/>
        <v>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13"/>
      <c r="F35" s="13"/>
      <c r="G35" s="5"/>
      <c r="H35" s="5"/>
      <c r="I35" s="5"/>
      <c r="J35" s="5">
        <f>9*J3</f>
        <v>0</v>
      </c>
      <c r="K35" s="5"/>
      <c r="L35" s="5"/>
      <c r="M35" s="5"/>
      <c r="N35" s="5"/>
      <c r="O35" s="5">
        <f t="shared" si="10"/>
        <v>0</v>
      </c>
      <c r="P35" s="25">
        <f t="shared" si="7"/>
        <v>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13">
        <f>9*E3</f>
        <v>0</v>
      </c>
      <c r="F36" s="13">
        <f>9*F3</f>
        <v>0</v>
      </c>
      <c r="G36" s="5"/>
      <c r="H36" s="5"/>
      <c r="I36" s="5"/>
      <c r="J36" s="5"/>
      <c r="K36" s="5"/>
      <c r="L36" s="5"/>
      <c r="M36" s="5"/>
      <c r="N36" s="5"/>
      <c r="O36" s="5">
        <f t="shared" si="10"/>
        <v>0</v>
      </c>
      <c r="P36" s="25">
        <f t="shared" si="7"/>
        <v>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ht="188" customHeight="1" x14ac:dyDescent="0.2">
      <c r="A37" s="9" t="s">
        <v>143</v>
      </c>
      <c r="B37" s="9" t="s">
        <v>128</v>
      </c>
      <c r="C37" s="10" t="s">
        <v>0</v>
      </c>
      <c r="D37" s="11">
        <v>6.6220000000000008</v>
      </c>
      <c r="E37" s="13"/>
      <c r="F37" s="5"/>
      <c r="G37" s="5"/>
      <c r="H37" s="5"/>
      <c r="I37" s="12"/>
      <c r="O37" s="5">
        <f t="shared" si="10"/>
        <v>0</v>
      </c>
      <c r="P37" s="25">
        <f t="shared" si="7"/>
        <v>0</v>
      </c>
    </row>
    <row r="38" spans="1:40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13"/>
      <c r="F38" s="5"/>
      <c r="G38" s="5"/>
      <c r="H38" s="5"/>
      <c r="I38" s="5"/>
      <c r="J38" s="5"/>
      <c r="K38" s="5"/>
      <c r="L38" s="5"/>
      <c r="M38" s="5"/>
      <c r="N38" s="5"/>
      <c r="O38" s="5">
        <f t="shared" si="10"/>
        <v>0</v>
      </c>
      <c r="P38" s="25">
        <f t="shared" si="7"/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13"/>
      <c r="F39" s="5"/>
      <c r="G39" s="5"/>
      <c r="H39" s="5"/>
      <c r="I39" s="5"/>
      <c r="J39" s="5"/>
      <c r="K39" s="5"/>
      <c r="L39" s="5"/>
      <c r="M39" s="5"/>
      <c r="N39" s="5"/>
      <c r="O39" s="5">
        <f t="shared" si="10"/>
        <v>0</v>
      </c>
      <c r="P39" s="25">
        <f t="shared" si="7"/>
        <v>0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ht="96" x14ac:dyDescent="0.2">
      <c r="A40" s="9" t="s">
        <v>123</v>
      </c>
      <c r="B40" s="9" t="s">
        <v>98</v>
      </c>
      <c r="C40" s="10" t="s">
        <v>9</v>
      </c>
      <c r="D40" s="11">
        <v>7.22</v>
      </c>
      <c r="E40" s="13"/>
      <c r="F40" s="5"/>
      <c r="G40" s="5">
        <f>9*G3</f>
        <v>0</v>
      </c>
      <c r="H40" s="5">
        <f>9*H3</f>
        <v>0</v>
      </c>
      <c r="I40" s="5"/>
      <c r="J40" s="5"/>
      <c r="K40" s="5"/>
      <c r="L40" s="5"/>
      <c r="M40" s="5"/>
      <c r="N40" s="5"/>
      <c r="O40" s="5">
        <f t="shared" si="10"/>
        <v>0</v>
      </c>
      <c r="P40" s="25">
        <f t="shared" si="7"/>
        <v>0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ht="96" x14ac:dyDescent="0.2">
      <c r="A41" s="9" t="s">
        <v>122</v>
      </c>
      <c r="B41" s="9" t="s">
        <v>57</v>
      </c>
      <c r="C41" s="10" t="s">
        <v>9</v>
      </c>
      <c r="D41" s="11">
        <v>5.16</v>
      </c>
      <c r="E41" s="13"/>
      <c r="F41" s="5"/>
      <c r="G41" s="5"/>
      <c r="H41" s="5"/>
      <c r="I41" s="5">
        <f>9*I3</f>
        <v>0</v>
      </c>
      <c r="J41" s="5"/>
      <c r="K41" s="5"/>
      <c r="L41" s="5"/>
      <c r="M41" s="5"/>
      <c r="N41" s="5"/>
      <c r="O41" s="5">
        <f t="shared" si="10"/>
        <v>0</v>
      </c>
      <c r="P41" s="25">
        <f t="shared" si="7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96" x14ac:dyDescent="0.2">
      <c r="A42" s="9" t="s">
        <v>121</v>
      </c>
      <c r="B42" s="9" t="s">
        <v>107</v>
      </c>
      <c r="C42" s="10" t="s">
        <v>9</v>
      </c>
      <c r="D42" s="11">
        <v>7.22</v>
      </c>
      <c r="E42" s="13"/>
      <c r="F42" s="13"/>
      <c r="G42" s="5"/>
      <c r="H42" s="5"/>
      <c r="I42" s="5"/>
      <c r="J42" s="5">
        <f>9*J3</f>
        <v>0</v>
      </c>
      <c r="K42" s="5"/>
      <c r="L42" s="5"/>
      <c r="M42" s="5"/>
      <c r="N42" s="5"/>
      <c r="O42" s="5">
        <f t="shared" si="10"/>
        <v>0</v>
      </c>
      <c r="P42" s="25">
        <f t="shared" si="7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ht="96" x14ac:dyDescent="0.2">
      <c r="A43" s="9" t="s">
        <v>120</v>
      </c>
      <c r="B43" s="9" t="s">
        <v>58</v>
      </c>
      <c r="C43" s="10" t="s">
        <v>9</v>
      </c>
      <c r="D43" s="11">
        <v>7.22</v>
      </c>
      <c r="E43" s="13">
        <f>9*E3</f>
        <v>0</v>
      </c>
      <c r="F43" s="13">
        <f>9*F3</f>
        <v>0</v>
      </c>
      <c r="G43" s="5"/>
      <c r="H43" s="5"/>
      <c r="I43" s="5"/>
      <c r="J43" s="5"/>
      <c r="K43" s="5"/>
      <c r="L43" s="5"/>
      <c r="M43" s="5"/>
      <c r="N43" s="5"/>
      <c r="O43" s="5">
        <f t="shared" si="10"/>
        <v>0</v>
      </c>
      <c r="P43" s="25">
        <f t="shared" si="7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13"/>
      <c r="F44" s="5"/>
      <c r="G44" s="5"/>
      <c r="H44" s="5"/>
      <c r="I44" s="5"/>
      <c r="J44" s="5"/>
      <c r="K44" s="5"/>
      <c r="L44" s="5"/>
      <c r="M44" s="5"/>
      <c r="N44" s="5"/>
      <c r="O44" s="5">
        <f t="shared" si="10"/>
        <v>0</v>
      </c>
      <c r="P44" s="25">
        <f t="shared" si="7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ht="96" x14ac:dyDescent="0.2">
      <c r="A45" s="9" t="s">
        <v>13</v>
      </c>
      <c r="B45" s="9" t="s">
        <v>60</v>
      </c>
      <c r="C45" s="10"/>
      <c r="D45" s="11">
        <v>0.73</v>
      </c>
      <c r="E45" s="13"/>
      <c r="F45" s="5"/>
      <c r="G45" s="5"/>
      <c r="H45" s="5"/>
      <c r="I45" s="5"/>
      <c r="J45" s="5"/>
      <c r="K45" s="5"/>
      <c r="L45" s="5"/>
      <c r="M45" s="5"/>
      <c r="N45" s="5"/>
      <c r="O45" s="5">
        <f t="shared" si="10"/>
        <v>0</v>
      </c>
      <c r="P45" s="25">
        <f t="shared" si="7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ht="96" x14ac:dyDescent="0.2">
      <c r="A46" s="9" t="s">
        <v>135</v>
      </c>
      <c r="B46" s="9" t="s">
        <v>134</v>
      </c>
      <c r="C46" s="10"/>
      <c r="D46" s="11">
        <v>0.73</v>
      </c>
      <c r="E46" s="13"/>
      <c r="F46" s="5"/>
      <c r="G46" s="5"/>
      <c r="H46" s="5"/>
      <c r="I46" s="5"/>
      <c r="J46" s="5"/>
      <c r="K46" s="5"/>
      <c r="L46" s="5"/>
      <c r="M46" s="5"/>
      <c r="N46" s="5"/>
      <c r="O46" s="5">
        <f t="shared" si="10"/>
        <v>0</v>
      </c>
      <c r="P46" s="25">
        <f t="shared" si="7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ht="96" x14ac:dyDescent="0.2">
      <c r="A47" s="14" t="s">
        <v>14</v>
      </c>
      <c r="B47" s="14" t="s">
        <v>61</v>
      </c>
      <c r="C47" s="10"/>
      <c r="D47" s="11">
        <v>1.8620000000000001</v>
      </c>
      <c r="E47" s="13"/>
      <c r="F47" s="5"/>
      <c r="G47" s="5"/>
      <c r="H47" s="5"/>
      <c r="I47" s="5"/>
      <c r="J47" s="5"/>
      <c r="K47" s="5"/>
      <c r="L47" s="5"/>
      <c r="M47" s="5"/>
      <c r="N47" s="5"/>
      <c r="O47" s="5">
        <f t="shared" si="10"/>
        <v>0</v>
      </c>
      <c r="P47" s="25">
        <f t="shared" si="7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ht="64" x14ac:dyDescent="0.2">
      <c r="A48" s="14" t="s">
        <v>15</v>
      </c>
      <c r="B48" s="14" t="s">
        <v>62</v>
      </c>
      <c r="C48" s="10"/>
      <c r="D48" s="11">
        <v>0.96600000000000008</v>
      </c>
      <c r="E48" s="13"/>
      <c r="F48" s="5"/>
      <c r="G48" s="5"/>
      <c r="H48" s="5"/>
      <c r="I48" s="5">
        <f>1*I3</f>
        <v>0</v>
      </c>
      <c r="J48" s="5">
        <f>1*J3</f>
        <v>0</v>
      </c>
      <c r="K48" s="5"/>
      <c r="L48" s="5"/>
      <c r="M48" s="5"/>
      <c r="N48" s="5"/>
      <c r="O48" s="5">
        <f t="shared" si="10"/>
        <v>0</v>
      </c>
      <c r="P48" s="25">
        <f t="shared" si="7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ht="64" x14ac:dyDescent="0.2">
      <c r="A49" s="14" t="s">
        <v>16</v>
      </c>
      <c r="B49" s="14" t="s">
        <v>63</v>
      </c>
      <c r="C49" s="10"/>
      <c r="D49" s="11">
        <v>0.83</v>
      </c>
      <c r="E49" s="13">
        <f>1*E3</f>
        <v>0</v>
      </c>
      <c r="F49" s="13">
        <f>1*F3</f>
        <v>0</v>
      </c>
      <c r="G49" s="13">
        <f>1*G3</f>
        <v>0</v>
      </c>
      <c r="H49" s="13">
        <f>1*H3</f>
        <v>0</v>
      </c>
      <c r="I49" s="5"/>
      <c r="J49" s="5"/>
      <c r="K49" s="5"/>
      <c r="L49" s="5"/>
      <c r="M49" s="5"/>
      <c r="N49" s="5"/>
      <c r="O49" s="5">
        <f t="shared" si="10"/>
        <v>0</v>
      </c>
      <c r="P49" s="25">
        <f t="shared" si="7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ht="32" x14ac:dyDescent="0.2">
      <c r="A50" s="14" t="s">
        <v>17</v>
      </c>
      <c r="B50" s="14" t="s">
        <v>64</v>
      </c>
      <c r="C50" s="10"/>
      <c r="D50" s="11">
        <v>10.497199999999999</v>
      </c>
      <c r="E50" s="13">
        <f>2*E3</f>
        <v>0</v>
      </c>
      <c r="F50" s="13">
        <f>1*F3</f>
        <v>0</v>
      </c>
      <c r="G50" s="13">
        <f>2*G3</f>
        <v>0</v>
      </c>
      <c r="H50" s="13">
        <f>1*H3</f>
        <v>0</v>
      </c>
      <c r="I50" s="5">
        <f>2*I3</f>
        <v>0</v>
      </c>
      <c r="J50" s="5">
        <f>2*J3</f>
        <v>0</v>
      </c>
      <c r="K50" s="5"/>
      <c r="L50" s="5"/>
      <c r="M50" s="5"/>
      <c r="N50" s="5"/>
      <c r="O50" s="5">
        <f t="shared" si="10"/>
        <v>0</v>
      </c>
      <c r="P50" s="25">
        <f t="shared" si="7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ht="32" x14ac:dyDescent="0.2">
      <c r="A51" s="14" t="s">
        <v>174</v>
      </c>
      <c r="B51" s="48" t="s">
        <v>190</v>
      </c>
      <c r="C51" s="10"/>
      <c r="D51" s="11">
        <v>8.6295999999999999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f t="shared" si="10"/>
        <v>0</v>
      </c>
      <c r="P51" s="25">
        <f t="shared" si="7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ht="32" x14ac:dyDescent="0.2">
      <c r="A52" s="14" t="s">
        <v>175</v>
      </c>
      <c r="B52" s="48" t="s">
        <v>191</v>
      </c>
      <c r="C52" s="10"/>
      <c r="D52" s="11">
        <v>6.78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f t="shared" si="10"/>
        <v>0</v>
      </c>
      <c r="P52" s="25">
        <f t="shared" ref="P52:P83" si="11">D52*O52</f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ht="32" x14ac:dyDescent="0.2">
      <c r="A53" s="14" t="s">
        <v>18</v>
      </c>
      <c r="B53" s="14" t="s">
        <v>65</v>
      </c>
      <c r="C53" s="10"/>
      <c r="D53" s="11">
        <v>6.78</v>
      </c>
      <c r="E53" s="13"/>
      <c r="F53" s="5"/>
      <c r="G53" s="5"/>
      <c r="H53" s="5"/>
      <c r="I53" s="5"/>
      <c r="J53" s="5"/>
      <c r="K53" s="5"/>
      <c r="L53" s="5"/>
      <c r="M53" s="5"/>
      <c r="N53" s="5"/>
      <c r="O53" s="5">
        <f t="shared" si="10"/>
        <v>0</v>
      </c>
      <c r="P53" s="25">
        <f t="shared" si="11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ht="32" x14ac:dyDescent="0.2">
      <c r="A54" s="14" t="s">
        <v>19</v>
      </c>
      <c r="B54" s="14" t="s">
        <v>66</v>
      </c>
      <c r="C54" s="10"/>
      <c r="D54" s="11">
        <v>2.6661599999999996</v>
      </c>
      <c r="E54" s="13"/>
      <c r="F54" s="5"/>
      <c r="G54" s="5">
        <f>2*G3</f>
        <v>0</v>
      </c>
      <c r="H54" s="5">
        <f>1*H3</f>
        <v>0</v>
      </c>
      <c r="I54" s="5">
        <f>2*I3</f>
        <v>0</v>
      </c>
      <c r="J54" s="5"/>
      <c r="K54" s="5"/>
      <c r="L54" s="5"/>
      <c r="M54" s="5"/>
      <c r="N54" s="5"/>
      <c r="O54" s="5">
        <f t="shared" si="10"/>
        <v>0</v>
      </c>
      <c r="P54" s="25">
        <f t="shared" si="1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ht="32" x14ac:dyDescent="0.2">
      <c r="A55" s="14" t="s">
        <v>20</v>
      </c>
      <c r="B55" s="14" t="s">
        <v>67</v>
      </c>
      <c r="C55" s="10"/>
      <c r="D55" s="11">
        <v>3.4389599999999998</v>
      </c>
      <c r="E55" s="13">
        <f>2*E3</f>
        <v>0</v>
      </c>
      <c r="F55" s="13">
        <f>1*F3</f>
        <v>0</v>
      </c>
      <c r="G55" s="13"/>
      <c r="H55" s="13"/>
      <c r="I55" s="5"/>
      <c r="J55" s="5">
        <f>2*J3</f>
        <v>0</v>
      </c>
      <c r="K55" s="5"/>
      <c r="L55" s="5"/>
      <c r="M55" s="5"/>
      <c r="N55" s="5"/>
      <c r="O55" s="5">
        <f t="shared" si="10"/>
        <v>0</v>
      </c>
      <c r="P55" s="25">
        <f t="shared" si="11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ht="32" x14ac:dyDescent="0.2">
      <c r="A56" s="14" t="s">
        <v>21</v>
      </c>
      <c r="B56" s="14" t="s">
        <v>131</v>
      </c>
      <c r="C56" s="10"/>
      <c r="D56" s="11">
        <v>3.4389599999999998</v>
      </c>
      <c r="E56" s="13">
        <f>2*E4</f>
        <v>0</v>
      </c>
      <c r="F56" s="13">
        <f>1*F4</f>
        <v>0</v>
      </c>
      <c r="G56" s="13"/>
      <c r="H56" s="13"/>
      <c r="I56" s="5"/>
      <c r="J56" s="5">
        <f>2*J4</f>
        <v>0</v>
      </c>
      <c r="K56" s="5"/>
      <c r="L56" s="5"/>
      <c r="M56" s="5"/>
      <c r="N56" s="5"/>
      <c r="O56" s="5">
        <f t="shared" si="10"/>
        <v>0</v>
      </c>
      <c r="P56" s="25">
        <f t="shared" si="11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ht="64" x14ac:dyDescent="0.2">
      <c r="A57" s="14" t="s">
        <v>22</v>
      </c>
      <c r="B57" s="14" t="s">
        <v>70</v>
      </c>
      <c r="C57" s="10"/>
      <c r="D57" s="11">
        <v>0.15512465373961221</v>
      </c>
      <c r="E57" s="13">
        <f>2*E3</f>
        <v>0</v>
      </c>
      <c r="F57" s="13">
        <f>1*F3</f>
        <v>0</v>
      </c>
      <c r="G57" s="13">
        <f>2*G3</f>
        <v>0</v>
      </c>
      <c r="H57" s="13">
        <f>1*H3</f>
        <v>0</v>
      </c>
      <c r="I57" s="5">
        <f>2*I3</f>
        <v>0</v>
      </c>
      <c r="J57" s="5">
        <f>2*J3</f>
        <v>0</v>
      </c>
      <c r="K57" s="5"/>
      <c r="L57" s="5"/>
      <c r="M57" s="5"/>
      <c r="N57" s="5"/>
      <c r="O57" s="5">
        <f t="shared" si="10"/>
        <v>0</v>
      </c>
      <c r="P57" s="25">
        <f t="shared" si="11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ht="96" x14ac:dyDescent="0.2">
      <c r="A58" s="14" t="s">
        <v>23</v>
      </c>
      <c r="B58" s="14" t="s">
        <v>69</v>
      </c>
      <c r="C58" s="10"/>
      <c r="D58" s="11">
        <v>0.27922437673130196</v>
      </c>
      <c r="E58" s="13">
        <f>2*E3</f>
        <v>0</v>
      </c>
      <c r="F58" s="13">
        <f>1*F3</f>
        <v>0</v>
      </c>
      <c r="G58" s="13">
        <f>2*G3</f>
        <v>0</v>
      </c>
      <c r="H58" s="13">
        <f>1*H3</f>
        <v>0</v>
      </c>
      <c r="I58" s="5">
        <f>2*I3</f>
        <v>0</v>
      </c>
      <c r="J58" s="5">
        <f>2*J3</f>
        <v>0</v>
      </c>
      <c r="K58" s="5"/>
      <c r="L58" s="5"/>
      <c r="M58" s="5"/>
      <c r="N58" s="5"/>
      <c r="O58" s="5">
        <f t="shared" si="10"/>
        <v>0</v>
      </c>
      <c r="P58" s="25">
        <f t="shared" si="11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ht="96" x14ac:dyDescent="0.2">
      <c r="A59" s="14" t="s">
        <v>24</v>
      </c>
      <c r="B59" s="14" t="s">
        <v>68</v>
      </c>
      <c r="C59" s="10"/>
      <c r="D59" s="11">
        <v>0.12409972299168978</v>
      </c>
      <c r="E59" s="13">
        <f>2*E3</f>
        <v>0</v>
      </c>
      <c r="F59" s="13">
        <f>1*F3</f>
        <v>0</v>
      </c>
      <c r="G59" s="13">
        <f>2*G3</f>
        <v>0</v>
      </c>
      <c r="H59" s="13">
        <f>1*H3</f>
        <v>0</v>
      </c>
      <c r="I59" s="5">
        <f>2*I3</f>
        <v>0</v>
      </c>
      <c r="J59" s="5">
        <f>2*J3</f>
        <v>0</v>
      </c>
      <c r="K59" s="5"/>
      <c r="L59" s="5"/>
      <c r="M59" s="5"/>
      <c r="N59" s="5"/>
      <c r="O59" s="5">
        <f t="shared" si="10"/>
        <v>0</v>
      </c>
      <c r="P59" s="25">
        <f t="shared" si="11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ht="96" x14ac:dyDescent="0.2">
      <c r="A60" s="14" t="s">
        <v>25</v>
      </c>
      <c r="B60" s="14" t="s">
        <v>71</v>
      </c>
      <c r="C60" s="10"/>
      <c r="D60" s="11">
        <v>3.1024930747922445E-2</v>
      </c>
      <c r="E60" s="13">
        <f>2*E3</f>
        <v>0</v>
      </c>
      <c r="F60" s="13">
        <f>1*F3</f>
        <v>0</v>
      </c>
      <c r="G60" s="13">
        <f>2*G3</f>
        <v>0</v>
      </c>
      <c r="H60" s="13">
        <f>1*H3</f>
        <v>0</v>
      </c>
      <c r="I60" s="5">
        <f>2*I3</f>
        <v>0</v>
      </c>
      <c r="J60" s="5">
        <f>2*J3</f>
        <v>0</v>
      </c>
      <c r="K60" s="5"/>
      <c r="L60" s="5"/>
      <c r="M60" s="5"/>
      <c r="N60" s="5"/>
      <c r="O60" s="5">
        <f t="shared" si="10"/>
        <v>0</v>
      </c>
      <c r="P60" s="25">
        <f t="shared" si="1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ht="96" x14ac:dyDescent="0.2">
      <c r="A61" s="14" t="s">
        <v>26</v>
      </c>
      <c r="B61" s="14" t="s">
        <v>72</v>
      </c>
      <c r="C61" s="10"/>
      <c r="D61" s="11">
        <v>3.49</v>
      </c>
      <c r="E61" s="13"/>
      <c r="F61" s="5"/>
      <c r="G61" s="5"/>
      <c r="H61" s="5"/>
      <c r="I61" s="5"/>
      <c r="J61" s="5"/>
      <c r="K61" s="5"/>
      <c r="L61" s="5"/>
      <c r="M61" s="5"/>
      <c r="N61" s="5"/>
      <c r="O61" s="5">
        <f t="shared" si="10"/>
        <v>0</v>
      </c>
      <c r="P61" s="25">
        <f t="shared" si="1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ht="160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13"/>
      <c r="F62" s="5"/>
      <c r="G62" s="5"/>
      <c r="H62" s="5"/>
      <c r="I62" s="5"/>
      <c r="J62" s="5"/>
      <c r="K62" s="5"/>
      <c r="L62" s="5"/>
      <c r="M62" s="5"/>
      <c r="N62" s="5"/>
      <c r="O62" s="5">
        <f t="shared" si="10"/>
        <v>0</v>
      </c>
      <c r="P62" s="25">
        <f t="shared" si="11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ht="160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3"/>
      <c r="F63" s="5"/>
      <c r="G63" s="5"/>
      <c r="H63" s="5"/>
      <c r="I63" s="5"/>
      <c r="J63" s="5"/>
      <c r="K63" s="5"/>
      <c r="L63" s="5"/>
      <c r="M63" s="5"/>
      <c r="N63" s="5"/>
      <c r="O63" s="5">
        <f t="shared" si="10"/>
        <v>0</v>
      </c>
      <c r="P63" s="25">
        <f t="shared" si="1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ht="96" x14ac:dyDescent="0.2">
      <c r="A64" s="14" t="s">
        <v>29</v>
      </c>
      <c r="B64" s="14" t="s">
        <v>75</v>
      </c>
      <c r="C64" s="10"/>
      <c r="D64" s="11">
        <v>1.1399999999999999</v>
      </c>
      <c r="E64" s="13">
        <f>2*E3</f>
        <v>0</v>
      </c>
      <c r="F64" s="13">
        <f>1*F3</f>
        <v>0</v>
      </c>
      <c r="G64" s="13">
        <f>2*G3</f>
        <v>0</v>
      </c>
      <c r="H64" s="13">
        <f>1*H3</f>
        <v>0</v>
      </c>
      <c r="I64" s="5">
        <f>2*I3</f>
        <v>0</v>
      </c>
      <c r="J64" s="5">
        <f>2*J3</f>
        <v>0</v>
      </c>
      <c r="K64" s="5"/>
      <c r="L64" s="5"/>
      <c r="M64" s="5"/>
      <c r="N64" s="5"/>
      <c r="O64" s="5">
        <f t="shared" si="10"/>
        <v>0</v>
      </c>
      <c r="P64" s="25">
        <f t="shared" si="11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ht="64" x14ac:dyDescent="0.2">
      <c r="A65" s="14" t="s">
        <v>30</v>
      </c>
      <c r="B65" s="14" t="s">
        <v>76</v>
      </c>
      <c r="C65" s="10"/>
      <c r="D65" s="11">
        <v>1.22</v>
      </c>
      <c r="E65" s="13"/>
      <c r="F65" s="5"/>
      <c r="G65" s="5"/>
      <c r="H65" s="5"/>
      <c r="I65" s="5"/>
      <c r="J65" s="5"/>
      <c r="K65" s="5"/>
      <c r="L65" s="5"/>
      <c r="M65" s="5"/>
      <c r="N65" s="5"/>
      <c r="O65" s="5">
        <f t="shared" si="10"/>
        <v>0</v>
      </c>
      <c r="P65" s="25">
        <f t="shared" si="11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ht="64" x14ac:dyDescent="0.2">
      <c r="A66" s="14" t="s">
        <v>31</v>
      </c>
      <c r="B66" s="14" t="s">
        <v>187</v>
      </c>
      <c r="C66" s="10"/>
      <c r="D66" s="11">
        <v>2.15</v>
      </c>
      <c r="E66" s="13"/>
      <c r="F66" s="5"/>
      <c r="G66" s="5"/>
      <c r="H66" s="5"/>
      <c r="I66" s="5"/>
      <c r="J66" s="5"/>
      <c r="K66" s="5"/>
      <c r="L66" s="5"/>
      <c r="M66" s="5"/>
      <c r="N66" s="5"/>
      <c r="O66" s="5">
        <f t="shared" si="10"/>
        <v>0</v>
      </c>
      <c r="P66" s="25">
        <f t="shared" si="11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ht="96" x14ac:dyDescent="0.2">
      <c r="A67" s="14" t="s">
        <v>32</v>
      </c>
      <c r="B67" s="14" t="s">
        <v>77</v>
      </c>
      <c r="C67" s="10"/>
      <c r="D67" s="11">
        <v>5.5579999999999998</v>
      </c>
      <c r="E67" s="13">
        <f>1*E3</f>
        <v>0</v>
      </c>
      <c r="F67" s="13"/>
      <c r="G67" s="13">
        <f>1*G3</f>
        <v>0</v>
      </c>
      <c r="H67" s="5"/>
      <c r="I67" s="5">
        <f>1*I3</f>
        <v>0</v>
      </c>
      <c r="J67" s="5">
        <f>1*J3</f>
        <v>0</v>
      </c>
      <c r="K67" s="5"/>
      <c r="L67" s="5"/>
      <c r="M67" s="5"/>
      <c r="N67" s="5"/>
      <c r="O67" s="5">
        <f t="shared" si="10"/>
        <v>0</v>
      </c>
      <c r="P67" s="25">
        <f t="shared" si="1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ht="96" x14ac:dyDescent="0.2">
      <c r="A68" s="14" t="s">
        <v>33</v>
      </c>
      <c r="B68" s="14" t="s">
        <v>78</v>
      </c>
      <c r="C68" s="10"/>
      <c r="D68" s="11">
        <v>5.5579999999999998</v>
      </c>
      <c r="E68" s="13">
        <f>1*E3</f>
        <v>0</v>
      </c>
      <c r="F68" s="13"/>
      <c r="G68" s="13">
        <f>1*G3</f>
        <v>0</v>
      </c>
      <c r="H68" s="5"/>
      <c r="I68" s="5">
        <f>1*I3</f>
        <v>0</v>
      </c>
      <c r="J68" s="5">
        <f>1*J3</f>
        <v>0</v>
      </c>
      <c r="K68" s="5"/>
      <c r="L68" s="5"/>
      <c r="M68" s="5"/>
      <c r="N68" s="5"/>
      <c r="O68" s="5">
        <f t="shared" si="10"/>
        <v>0</v>
      </c>
      <c r="P68" s="25">
        <f t="shared" si="1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ht="96" x14ac:dyDescent="0.2">
      <c r="A69" s="14" t="s">
        <v>176</v>
      </c>
      <c r="B69" s="14" t="s">
        <v>192</v>
      </c>
      <c r="C69" s="10"/>
      <c r="D69" s="11">
        <v>5.5579999999999998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f t="shared" si="10"/>
        <v>0</v>
      </c>
      <c r="P69" s="25">
        <f t="shared" si="1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ht="96" x14ac:dyDescent="0.2">
      <c r="A70" s="14" t="s">
        <v>177</v>
      </c>
      <c r="B70" s="14" t="s">
        <v>193</v>
      </c>
      <c r="C70" s="10"/>
      <c r="D70" s="11">
        <v>5.5579999999999998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f t="shared" si="10"/>
        <v>0</v>
      </c>
      <c r="P70" s="25">
        <f t="shared" si="1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ht="96" x14ac:dyDescent="0.2">
      <c r="A71" s="14" t="s">
        <v>178</v>
      </c>
      <c r="B71" s="14" t="s">
        <v>194</v>
      </c>
      <c r="C71" s="10"/>
      <c r="D71" s="11">
        <v>5.5579999999999998</v>
      </c>
      <c r="O71" s="5">
        <f t="shared" si="10"/>
        <v>0</v>
      </c>
      <c r="P71" s="25">
        <f t="shared" si="11"/>
        <v>0</v>
      </c>
    </row>
    <row r="72" spans="1:40" ht="96" x14ac:dyDescent="0.2">
      <c r="A72" s="14" t="s">
        <v>179</v>
      </c>
      <c r="B72" s="14" t="s">
        <v>195</v>
      </c>
      <c r="C72" s="10"/>
      <c r="D72" s="11">
        <v>5.5579999999999998</v>
      </c>
      <c r="O72" s="5">
        <f t="shared" si="10"/>
        <v>0</v>
      </c>
      <c r="P72" s="25">
        <f t="shared" si="11"/>
        <v>0</v>
      </c>
    </row>
    <row r="73" spans="1:40" ht="96" x14ac:dyDescent="0.2">
      <c r="A73" s="14" t="s">
        <v>34</v>
      </c>
      <c r="B73" s="14" t="s">
        <v>79</v>
      </c>
      <c r="C73" s="10"/>
      <c r="D73" s="11">
        <v>3.3879999999999999</v>
      </c>
      <c r="E73" s="13"/>
      <c r="F73" s="5"/>
      <c r="G73" s="5"/>
      <c r="H73" s="5"/>
      <c r="I73" s="5"/>
      <c r="J73" s="5"/>
      <c r="K73" s="5"/>
      <c r="L73" s="5"/>
      <c r="M73" s="5"/>
      <c r="N73" s="5"/>
      <c r="O73" s="5">
        <f t="shared" si="10"/>
        <v>0</v>
      </c>
      <c r="P73" s="25">
        <f t="shared" si="11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ht="96" x14ac:dyDescent="0.2">
      <c r="A74" s="14" t="s">
        <v>35</v>
      </c>
      <c r="B74" s="14" t="s">
        <v>80</v>
      </c>
      <c r="C74" s="10"/>
      <c r="D74" s="11">
        <v>3.3879999999999999</v>
      </c>
      <c r="E74" s="13"/>
      <c r="F74" s="5"/>
      <c r="G74" s="5"/>
      <c r="H74" s="5"/>
      <c r="I74" s="5"/>
      <c r="J74" s="5"/>
      <c r="K74" s="5"/>
      <c r="L74" s="5"/>
      <c r="M74" s="5"/>
      <c r="N74" s="5"/>
      <c r="O74" s="5">
        <f t="shared" si="10"/>
        <v>0</v>
      </c>
      <c r="P74" s="25">
        <f t="shared" si="11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ht="64" x14ac:dyDescent="0.2">
      <c r="A75" s="14" t="s">
        <v>36</v>
      </c>
      <c r="B75" s="14" t="s">
        <v>81</v>
      </c>
      <c r="C75" s="10"/>
      <c r="D75" s="11">
        <v>2.1280000000000001</v>
      </c>
      <c r="E75" s="13"/>
      <c r="F75" s="5"/>
      <c r="G75" s="5"/>
      <c r="H75" s="5"/>
      <c r="I75" s="5"/>
      <c r="J75" s="5"/>
      <c r="K75" s="5"/>
      <c r="L75" s="5"/>
      <c r="M75" s="5"/>
      <c r="N75" s="5"/>
      <c r="O75" s="5">
        <f t="shared" si="10"/>
        <v>0</v>
      </c>
      <c r="P75" s="25">
        <f t="shared" si="11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ht="96" x14ac:dyDescent="0.2">
      <c r="A76" s="14" t="s">
        <v>37</v>
      </c>
      <c r="B76" s="14" t="s">
        <v>82</v>
      </c>
      <c r="C76" s="10"/>
      <c r="D76" s="11">
        <v>2.702</v>
      </c>
      <c r="E76" s="13"/>
      <c r="F76" s="5"/>
      <c r="G76" s="5"/>
      <c r="H76" s="5"/>
      <c r="I76" s="5"/>
      <c r="J76" s="5"/>
      <c r="K76" s="5"/>
      <c r="L76" s="5"/>
      <c r="M76" s="5"/>
      <c r="N76" s="5"/>
      <c r="O76" s="5">
        <f t="shared" ref="O76:O82" si="12">SUM(E76:J76)</f>
        <v>0</v>
      </c>
      <c r="P76" s="25">
        <f t="shared" si="11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ht="103" customHeight="1" x14ac:dyDescent="0.2">
      <c r="A77" s="14" t="s">
        <v>38</v>
      </c>
      <c r="B77" s="14" t="s">
        <v>83</v>
      </c>
      <c r="C77" s="10"/>
      <c r="D77" s="11">
        <v>0.68599999999999994</v>
      </c>
      <c r="E77" s="13"/>
      <c r="F77" s="5"/>
      <c r="G77" s="5">
        <f>1*G3</f>
        <v>0</v>
      </c>
      <c r="H77" s="5"/>
      <c r="I77" s="5">
        <f>1*I3</f>
        <v>0</v>
      </c>
      <c r="J77" s="5"/>
      <c r="K77" s="5"/>
      <c r="L77" s="5"/>
      <c r="M77" s="5"/>
      <c r="N77" s="5"/>
      <c r="O77" s="5">
        <f t="shared" si="12"/>
        <v>0</v>
      </c>
      <c r="P77" s="25">
        <f t="shared" si="11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ht="126" customHeight="1" x14ac:dyDescent="0.2">
      <c r="A78" s="14" t="s">
        <v>39</v>
      </c>
      <c r="B78" s="14" t="s">
        <v>84</v>
      </c>
      <c r="C78" s="10"/>
      <c r="D78" s="11">
        <v>0.68599999999999994</v>
      </c>
      <c r="E78" s="13"/>
      <c r="F78" s="5"/>
      <c r="G78" s="5">
        <f>1*G3</f>
        <v>0</v>
      </c>
      <c r="H78" s="5"/>
      <c r="I78" s="5">
        <f>1*I3</f>
        <v>0</v>
      </c>
      <c r="J78" s="5"/>
      <c r="K78" s="5"/>
      <c r="L78" s="5"/>
      <c r="M78" s="5"/>
      <c r="N78" s="5"/>
      <c r="O78" s="5">
        <f t="shared" si="12"/>
        <v>0</v>
      </c>
      <c r="P78" s="25">
        <f t="shared" si="11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ht="111" customHeight="1" x14ac:dyDescent="0.2">
      <c r="A79" s="14" t="s">
        <v>40</v>
      </c>
      <c r="B79" s="14" t="s">
        <v>85</v>
      </c>
      <c r="C79" s="10"/>
      <c r="D79" s="11">
        <v>0.98</v>
      </c>
      <c r="E79" s="13">
        <f>1*E3</f>
        <v>0</v>
      </c>
      <c r="F79" s="5"/>
      <c r="G79" s="5"/>
      <c r="H79" s="5"/>
      <c r="I79" s="5"/>
      <c r="J79" s="5">
        <f>1*J3</f>
        <v>0</v>
      </c>
      <c r="K79" s="5"/>
      <c r="L79" s="5"/>
      <c r="M79" s="5"/>
      <c r="N79" s="5"/>
      <c r="O79" s="5">
        <f t="shared" si="12"/>
        <v>0</v>
      </c>
      <c r="P79" s="25">
        <f t="shared" si="11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ht="100" customHeight="1" x14ac:dyDescent="0.2">
      <c r="A80" s="14" t="s">
        <v>41</v>
      </c>
      <c r="B80" s="15" t="s">
        <v>254</v>
      </c>
      <c r="C80" s="16"/>
      <c r="D80" s="11">
        <v>0.98</v>
      </c>
      <c r="E80" s="13">
        <f>1*E3</f>
        <v>0</v>
      </c>
      <c r="F80" s="5"/>
      <c r="G80" s="5"/>
      <c r="H80" s="5"/>
      <c r="I80" s="5"/>
      <c r="J80" s="5">
        <f>1*J3</f>
        <v>0</v>
      </c>
      <c r="K80" s="5"/>
      <c r="L80" s="5"/>
      <c r="M80" s="5"/>
      <c r="N80" s="5"/>
      <c r="O80" s="5">
        <f t="shared" si="12"/>
        <v>0</v>
      </c>
      <c r="P80" s="25">
        <f t="shared" si="11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ht="100" customHeight="1" x14ac:dyDescent="0.2">
      <c r="A81" s="14" t="s">
        <v>136</v>
      </c>
      <c r="B81" s="14" t="s">
        <v>132</v>
      </c>
      <c r="C81" s="10"/>
      <c r="D81" s="11">
        <v>0.98</v>
      </c>
      <c r="E81" s="13">
        <f>1*E5</f>
        <v>0</v>
      </c>
      <c r="F81" s="5"/>
      <c r="G81" s="5"/>
      <c r="H81" s="5"/>
      <c r="I81" s="5"/>
      <c r="J81" s="5">
        <f>1*J5</f>
        <v>0</v>
      </c>
      <c r="K81" s="5"/>
      <c r="L81" s="5"/>
      <c r="M81" s="5"/>
      <c r="N81" s="5"/>
      <c r="O81" s="5">
        <f t="shared" si="12"/>
        <v>0</v>
      </c>
      <c r="P81" s="25">
        <f t="shared" si="11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ht="116" customHeight="1" x14ac:dyDescent="0.2">
      <c r="A82" s="14" t="s">
        <v>137</v>
      </c>
      <c r="B82" s="15" t="s">
        <v>255</v>
      </c>
      <c r="C82" s="16"/>
      <c r="D82" s="11">
        <v>0.98</v>
      </c>
      <c r="E82" s="13">
        <f>1*E5</f>
        <v>0</v>
      </c>
      <c r="F82" s="5"/>
      <c r="G82" s="5"/>
      <c r="H82" s="5"/>
      <c r="I82" s="5"/>
      <c r="J82" s="5">
        <v>0</v>
      </c>
      <c r="K82" s="5"/>
      <c r="L82" s="5"/>
      <c r="M82" s="5"/>
      <c r="N82" s="5"/>
      <c r="O82" s="5">
        <f t="shared" si="12"/>
        <v>0</v>
      </c>
      <c r="P82" s="25">
        <f t="shared" si="11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ht="160" x14ac:dyDescent="0.2">
      <c r="A83" s="10" t="s">
        <v>154</v>
      </c>
      <c r="B83" s="10" t="s">
        <v>155</v>
      </c>
      <c r="C83" s="10"/>
      <c r="D83" s="11">
        <v>19.137999999999998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f t="shared" ref="O83:O90" si="13">SUM(E83:J83)</f>
        <v>0</v>
      </c>
      <c r="P83" s="25">
        <f t="shared" si="11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ht="409.5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f t="shared" si="13"/>
        <v>0</v>
      </c>
      <c r="P84" s="25">
        <f t="shared" ref="P84:P90" si="14">D84*O84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ht="384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 t="shared" si="13"/>
        <v>0</v>
      </c>
      <c r="P85" s="25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ht="384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f t="shared" si="13"/>
        <v>0</v>
      </c>
      <c r="P86" s="25">
        <f t="shared" si="14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ht="160" x14ac:dyDescent="0.2">
      <c r="A87" s="14" t="s">
        <v>180</v>
      </c>
      <c r="B87" s="10" t="s">
        <v>181</v>
      </c>
      <c r="C87" s="10"/>
      <c r="D87" s="11">
        <v>0.75</v>
      </c>
      <c r="O87" s="5">
        <f t="shared" si="13"/>
        <v>0</v>
      </c>
      <c r="P87" s="25">
        <f t="shared" si="14"/>
        <v>0</v>
      </c>
    </row>
    <row r="88" spans="1:40" ht="160" x14ac:dyDescent="0.2">
      <c r="A88" s="14" t="s">
        <v>182</v>
      </c>
      <c r="B88" s="10" t="s">
        <v>183</v>
      </c>
      <c r="C88" s="10"/>
      <c r="D88" s="11">
        <v>0.75</v>
      </c>
      <c r="O88" s="5">
        <f t="shared" si="13"/>
        <v>0</v>
      </c>
      <c r="P88" s="25">
        <f t="shared" si="14"/>
        <v>0</v>
      </c>
    </row>
    <row r="89" spans="1:40" ht="160" x14ac:dyDescent="0.2">
      <c r="A89" s="14" t="s">
        <v>184</v>
      </c>
      <c r="B89" s="10" t="s">
        <v>185</v>
      </c>
      <c r="C89" s="10"/>
      <c r="D89" s="11">
        <v>0.75</v>
      </c>
      <c r="O89" s="5">
        <f t="shared" si="13"/>
        <v>0</v>
      </c>
      <c r="P89" s="25">
        <f t="shared" si="14"/>
        <v>0</v>
      </c>
    </row>
    <row r="90" spans="1:40" ht="160" x14ac:dyDescent="0.2">
      <c r="A90" s="14" t="s">
        <v>186</v>
      </c>
      <c r="B90" s="14" t="s">
        <v>256</v>
      </c>
      <c r="C90" s="10"/>
      <c r="D90" s="11">
        <v>0.75</v>
      </c>
      <c r="O90" s="5">
        <f t="shared" si="13"/>
        <v>0</v>
      </c>
      <c r="P90" s="25">
        <f t="shared" si="14"/>
        <v>0</v>
      </c>
    </row>
    <row r="91" spans="1:40" x14ac:dyDescent="0.2">
      <c r="A91" s="64"/>
      <c r="B91" s="64"/>
      <c r="C91" s="65"/>
      <c r="D91" s="66"/>
      <c r="O91" s="5"/>
      <c r="P91" s="25"/>
    </row>
    <row r="92" spans="1:40" x14ac:dyDescent="0.2">
      <c r="E92" s="5"/>
      <c r="F92" s="5"/>
      <c r="G92" s="5"/>
      <c r="H92" s="5"/>
      <c r="I92" s="5"/>
      <c r="J92" s="5"/>
      <c r="K92" s="5"/>
      <c r="L92" s="5"/>
      <c r="M92" s="5"/>
      <c r="N92" s="5"/>
      <c r="O92" s="29" t="s">
        <v>114</v>
      </c>
      <c r="P92" s="25">
        <f>SUM(P4:P82)</f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</sheetData>
  <printOptions headings="1" gridLines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730A-B957-4841-9063-631112436031}">
  <sheetPr>
    <tabColor theme="5"/>
  </sheetPr>
  <dimension ref="A1:AN94"/>
  <sheetViews>
    <sheetView zoomScale="41" zoomScaleNormal="75" workbookViewId="0">
      <selection activeCell="E33" sqref="E33"/>
    </sheetView>
  </sheetViews>
  <sheetFormatPr baseColWidth="10" defaultRowHeight="16" x14ac:dyDescent="0.2"/>
  <cols>
    <col min="1" max="1" width="53.83203125" customWidth="1"/>
    <col min="2" max="2" width="41.6640625" customWidth="1"/>
    <col min="3" max="3" width="57.6640625" customWidth="1"/>
    <col min="4" max="4" width="73.1640625" customWidth="1"/>
    <col min="5" max="5" width="50.5" customWidth="1"/>
    <col min="6" max="6" width="65.33203125" customWidth="1"/>
    <col min="7" max="7" width="60.6640625" customWidth="1"/>
    <col min="8" max="8" width="55.33203125" customWidth="1"/>
    <col min="9" max="9" width="58.5" customWidth="1"/>
    <col min="10" max="10" width="57.6640625" customWidth="1"/>
    <col min="11" max="11" width="5.1640625" customWidth="1"/>
    <col min="12" max="12" width="5" customWidth="1"/>
    <col min="13" max="13" width="5.6640625" customWidth="1"/>
    <col min="14" max="14" width="4.83203125" customWidth="1"/>
    <col min="15" max="15" width="33.33203125" customWidth="1"/>
    <col min="16" max="16" width="35.83203125" customWidth="1"/>
  </cols>
  <sheetData>
    <row r="1" spans="1:16" ht="321" customHeight="1" x14ac:dyDescent="0.55000000000000004">
      <c r="A1" s="26" t="s">
        <v>88</v>
      </c>
      <c r="B1" s="26" t="s">
        <v>89</v>
      </c>
      <c r="C1" s="27" t="s">
        <v>86</v>
      </c>
      <c r="D1" s="27" t="s">
        <v>87</v>
      </c>
      <c r="E1" s="28" t="s">
        <v>282</v>
      </c>
      <c r="F1" s="28" t="s">
        <v>283</v>
      </c>
      <c r="G1" s="28" t="s">
        <v>284</v>
      </c>
      <c r="H1" s="28" t="s">
        <v>285</v>
      </c>
      <c r="I1" s="28" t="s">
        <v>286</v>
      </c>
      <c r="J1" s="28" t="s">
        <v>287</v>
      </c>
      <c r="K1" s="28"/>
      <c r="L1" s="28"/>
      <c r="M1" s="28"/>
      <c r="N1" s="28"/>
      <c r="O1" s="21"/>
      <c r="P1" s="6"/>
    </row>
    <row r="2" spans="1:16" ht="179" customHeight="1" x14ac:dyDescent="0.55000000000000004">
      <c r="A2" s="26"/>
      <c r="B2" s="26"/>
      <c r="C2" s="27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1"/>
      <c r="P2" s="6"/>
    </row>
    <row r="3" spans="1:16" s="75" customFormat="1" ht="75" customHeight="1" x14ac:dyDescent="0.2">
      <c r="A3" s="2"/>
      <c r="B3" s="2"/>
      <c r="C3" s="3"/>
      <c r="D3" s="3" t="s">
        <v>126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/>
      <c r="L3" s="7"/>
      <c r="M3" s="7"/>
      <c r="N3" s="7"/>
      <c r="O3" s="7" t="s">
        <v>114</v>
      </c>
      <c r="P3" s="24" t="s">
        <v>118</v>
      </c>
    </row>
    <row r="4" spans="1:16" ht="64" x14ac:dyDescent="0.35">
      <c r="A4" s="9" t="s">
        <v>108</v>
      </c>
      <c r="B4" s="9" t="s">
        <v>42</v>
      </c>
      <c r="C4" s="10"/>
      <c r="D4" s="11">
        <v>3.2071200000000002</v>
      </c>
      <c r="E4" s="5"/>
      <c r="F4" s="5"/>
      <c r="G4" s="5"/>
      <c r="H4" s="5"/>
      <c r="I4" s="5">
        <f>4*I3</f>
        <v>0</v>
      </c>
      <c r="J4" s="5">
        <f>4*J3</f>
        <v>0</v>
      </c>
      <c r="K4" s="5"/>
      <c r="L4" s="5"/>
      <c r="M4" s="5"/>
      <c r="N4" s="5"/>
      <c r="O4" s="5">
        <f t="shared" ref="O4:O18" si="0">SUM(E4:J4)</f>
        <v>0</v>
      </c>
      <c r="P4" s="12">
        <f t="shared" ref="P4:P18" si="1">D4*O4</f>
        <v>0</v>
      </c>
    </row>
    <row r="5" spans="1:16" ht="64" x14ac:dyDescent="0.35">
      <c r="A5" s="9" t="s">
        <v>109</v>
      </c>
      <c r="B5" s="9" t="s">
        <v>43</v>
      </c>
      <c r="C5" s="10"/>
      <c r="D5" s="11">
        <v>4.1087199999999999</v>
      </c>
      <c r="E5" s="5"/>
      <c r="F5" s="5"/>
      <c r="G5" s="5"/>
      <c r="H5" s="5"/>
      <c r="I5" s="5">
        <f>1*I3</f>
        <v>0</v>
      </c>
      <c r="J5" s="5">
        <f>1*J3</f>
        <v>0</v>
      </c>
      <c r="K5" s="5"/>
      <c r="L5" s="5"/>
      <c r="M5" s="5"/>
      <c r="N5" s="5"/>
      <c r="O5" s="5">
        <f t="shared" si="0"/>
        <v>0</v>
      </c>
      <c r="P5" s="12">
        <f t="shared" si="1"/>
        <v>0</v>
      </c>
    </row>
    <row r="6" spans="1:16" ht="64" x14ac:dyDescent="0.35">
      <c r="A6" s="9" t="s">
        <v>110</v>
      </c>
      <c r="B6" s="9" t="s">
        <v>44</v>
      </c>
      <c r="C6" s="10"/>
      <c r="D6" s="11">
        <v>3.47</v>
      </c>
      <c r="E6" s="13">
        <f>4*E3</f>
        <v>0</v>
      </c>
      <c r="F6" s="13">
        <f>4*F3</f>
        <v>0</v>
      </c>
      <c r="G6" s="13">
        <f t="shared" ref="G6:H6" si="2">4*G3</f>
        <v>0</v>
      </c>
      <c r="H6" s="13">
        <f t="shared" si="2"/>
        <v>0</v>
      </c>
      <c r="I6" s="5"/>
      <c r="J6" s="5"/>
      <c r="K6" s="5"/>
      <c r="L6" s="5"/>
      <c r="M6" s="5"/>
      <c r="N6" s="5"/>
      <c r="O6" s="5">
        <f t="shared" si="0"/>
        <v>0</v>
      </c>
      <c r="P6" s="12">
        <f t="shared" si="1"/>
        <v>0</v>
      </c>
    </row>
    <row r="7" spans="1:16" ht="64" x14ac:dyDescent="0.35">
      <c r="A7" s="9" t="s">
        <v>111</v>
      </c>
      <c r="B7" s="9" t="s">
        <v>45</v>
      </c>
      <c r="C7" s="10"/>
      <c r="D7" s="11">
        <v>4.2699999999999996</v>
      </c>
      <c r="E7" s="13">
        <f>1*E3</f>
        <v>0</v>
      </c>
      <c r="F7" s="13">
        <f>1*F3</f>
        <v>0</v>
      </c>
      <c r="G7" s="13">
        <f t="shared" ref="G7:H7" si="3">1*G3</f>
        <v>0</v>
      </c>
      <c r="H7" s="13">
        <f t="shared" si="3"/>
        <v>0</v>
      </c>
      <c r="I7" s="5"/>
      <c r="J7" s="5"/>
      <c r="K7" s="5"/>
      <c r="L7" s="5"/>
      <c r="M7" s="5"/>
      <c r="N7" s="5"/>
      <c r="O7" s="5">
        <f t="shared" si="0"/>
        <v>0</v>
      </c>
      <c r="P7" s="12">
        <f t="shared" si="1"/>
        <v>0</v>
      </c>
    </row>
    <row r="8" spans="1:16" ht="166" customHeight="1" x14ac:dyDescent="0.35">
      <c r="A8" s="9" t="s">
        <v>112</v>
      </c>
      <c r="B8" s="9" t="s">
        <v>46</v>
      </c>
      <c r="C8" s="10"/>
      <c r="D8" s="11">
        <v>6.23</v>
      </c>
      <c r="E8" s="13"/>
      <c r="F8" s="5"/>
      <c r="G8" s="5"/>
      <c r="H8" s="5"/>
      <c r="I8" s="5"/>
      <c r="J8" s="5"/>
      <c r="K8" s="5"/>
      <c r="L8" s="5"/>
      <c r="M8" s="5"/>
      <c r="N8" s="5"/>
      <c r="O8" s="5">
        <f t="shared" si="0"/>
        <v>0</v>
      </c>
      <c r="P8" s="12">
        <f t="shared" si="1"/>
        <v>0</v>
      </c>
    </row>
    <row r="9" spans="1:16" ht="114" customHeight="1" x14ac:dyDescent="0.35">
      <c r="A9" s="9" t="s">
        <v>113</v>
      </c>
      <c r="B9" s="9" t="s">
        <v>47</v>
      </c>
      <c r="C9" s="10"/>
      <c r="D9" s="11">
        <v>7.6579999999999995</v>
      </c>
      <c r="E9" s="13"/>
      <c r="F9" s="5"/>
      <c r="G9" s="5"/>
      <c r="H9" s="5"/>
      <c r="I9" s="5"/>
      <c r="J9" s="5"/>
      <c r="K9" s="5"/>
      <c r="L9" s="5"/>
      <c r="M9" s="5"/>
      <c r="N9" s="5"/>
      <c r="O9" s="5">
        <f t="shared" si="0"/>
        <v>0</v>
      </c>
      <c r="P9" s="12">
        <f t="shared" si="1"/>
        <v>0</v>
      </c>
    </row>
    <row r="10" spans="1:16" ht="137" customHeight="1" x14ac:dyDescent="0.35">
      <c r="A10" s="9" t="s">
        <v>2</v>
      </c>
      <c r="B10" s="9" t="s">
        <v>48</v>
      </c>
      <c r="C10" s="10" t="s">
        <v>90</v>
      </c>
      <c r="D10" s="11">
        <v>2.4472</v>
      </c>
      <c r="E10" s="13"/>
      <c r="F10" s="5"/>
      <c r="G10" s="5"/>
      <c r="H10" s="5"/>
      <c r="I10" s="5">
        <f>8*I3</f>
        <v>0</v>
      </c>
      <c r="J10" s="5"/>
      <c r="K10" s="5"/>
      <c r="L10" s="5"/>
      <c r="M10" s="5"/>
      <c r="N10" s="5"/>
      <c r="O10" s="5">
        <f t="shared" si="0"/>
        <v>0</v>
      </c>
      <c r="P10" s="12">
        <f t="shared" si="1"/>
        <v>0</v>
      </c>
    </row>
    <row r="11" spans="1:16" ht="171" customHeight="1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E11" s="13"/>
      <c r="F11" s="5"/>
      <c r="G11" s="5">
        <f>8*G3</f>
        <v>0</v>
      </c>
      <c r="H11" s="5">
        <f>8*H3</f>
        <v>0</v>
      </c>
      <c r="I11" s="5"/>
      <c r="J11" s="5"/>
      <c r="K11" s="5"/>
      <c r="L11" s="5"/>
      <c r="M11" s="5"/>
      <c r="N11" s="5"/>
      <c r="O11" s="5">
        <f t="shared" si="0"/>
        <v>0</v>
      </c>
      <c r="P11" s="12">
        <f t="shared" si="1"/>
        <v>0</v>
      </c>
    </row>
    <row r="12" spans="1:16" ht="149" customHeight="1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E12" s="13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12">
        <f t="shared" si="1"/>
        <v>0</v>
      </c>
    </row>
    <row r="13" spans="1:16" ht="145" customHeight="1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E13" s="13"/>
      <c r="F13" s="5"/>
      <c r="G13" s="5"/>
      <c r="H13" s="5"/>
      <c r="I13" s="5"/>
      <c r="J13" s="5"/>
      <c r="K13" s="5"/>
      <c r="L13" s="5"/>
      <c r="M13" s="5"/>
      <c r="N13" s="5"/>
      <c r="O13" s="5">
        <f t="shared" si="0"/>
        <v>0</v>
      </c>
      <c r="P13" s="12">
        <f t="shared" si="1"/>
        <v>0</v>
      </c>
    </row>
    <row r="14" spans="1:16" ht="145" customHeight="1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13"/>
      <c r="F14" s="5"/>
      <c r="G14" s="5"/>
      <c r="H14" s="5"/>
      <c r="I14" s="5"/>
      <c r="J14" s="5"/>
      <c r="K14" s="5"/>
      <c r="L14" s="5"/>
      <c r="M14" s="5"/>
      <c r="N14" s="5"/>
      <c r="O14" s="5">
        <f t="shared" si="0"/>
        <v>0</v>
      </c>
      <c r="P14" s="12">
        <f t="shared" si="1"/>
        <v>0</v>
      </c>
    </row>
    <row r="15" spans="1:16" ht="145" customHeight="1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E15" s="13"/>
      <c r="F15" s="5"/>
      <c r="G15" s="5"/>
      <c r="H15" s="5"/>
      <c r="I15" s="5"/>
      <c r="J15" s="5"/>
      <c r="K15" s="5"/>
      <c r="L15" s="5"/>
      <c r="M15" s="5"/>
      <c r="N15" s="5"/>
      <c r="O15" s="5">
        <f t="shared" si="0"/>
        <v>0</v>
      </c>
      <c r="P15" s="12">
        <f t="shared" si="1"/>
        <v>0</v>
      </c>
    </row>
    <row r="16" spans="1:16" ht="145" customHeight="1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E16" s="13"/>
      <c r="F16" s="5"/>
      <c r="G16" s="5"/>
      <c r="H16" s="5"/>
      <c r="I16" s="5"/>
      <c r="J16" s="5"/>
      <c r="K16" s="5"/>
      <c r="L16" s="5"/>
      <c r="M16" s="5"/>
      <c r="N16" s="5"/>
      <c r="O16" s="5">
        <f t="shared" si="0"/>
        <v>0</v>
      </c>
      <c r="P16" s="12">
        <f t="shared" si="1"/>
        <v>0</v>
      </c>
    </row>
    <row r="17" spans="1:40" ht="145" customHeight="1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E17" s="13"/>
      <c r="F17" s="5"/>
      <c r="G17" s="5"/>
      <c r="H17" s="5"/>
      <c r="I17" s="5"/>
      <c r="J17" s="5"/>
      <c r="K17" s="5"/>
      <c r="L17" s="5"/>
      <c r="M17" s="5"/>
      <c r="N17" s="5"/>
      <c r="O17" s="5">
        <f t="shared" si="0"/>
        <v>0</v>
      </c>
      <c r="P17" s="12">
        <f t="shared" si="1"/>
        <v>0</v>
      </c>
    </row>
    <row r="18" spans="1:40" ht="195" customHeight="1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13"/>
      <c r="F18" s="13"/>
      <c r="G18" s="5"/>
      <c r="H18" s="5"/>
      <c r="I18" s="5"/>
      <c r="J18" s="5">
        <f>8*J3</f>
        <v>0</v>
      </c>
      <c r="K18" s="5"/>
      <c r="L18" s="5"/>
      <c r="M18" s="5"/>
      <c r="N18" s="5"/>
      <c r="O18" s="5">
        <f t="shared" si="0"/>
        <v>0</v>
      </c>
      <c r="P18" s="12">
        <f t="shared" si="1"/>
        <v>0</v>
      </c>
    </row>
    <row r="19" spans="1:40" ht="195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13"/>
      <c r="F19" s="13"/>
      <c r="G19" s="5"/>
      <c r="H19" s="5"/>
      <c r="I19" s="5"/>
      <c r="J19" s="5"/>
      <c r="K19" s="5"/>
      <c r="L19" s="5"/>
      <c r="M19" s="5"/>
      <c r="N19" s="5"/>
      <c r="O19" s="5"/>
      <c r="P19" s="12"/>
    </row>
    <row r="20" spans="1:40" ht="207" customHeight="1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3">
        <f>8*E3</f>
        <v>0</v>
      </c>
      <c r="F20" s="13">
        <f>8*F3</f>
        <v>0</v>
      </c>
      <c r="G20" s="5"/>
      <c r="H20" s="5"/>
      <c r="I20" s="5"/>
      <c r="J20" s="5"/>
      <c r="K20" s="5"/>
      <c r="L20" s="5"/>
      <c r="M20" s="5"/>
      <c r="N20" s="5"/>
      <c r="O20" s="5">
        <f t="shared" ref="O20:O51" si="4">SUM(E20:J20)</f>
        <v>0</v>
      </c>
      <c r="P20" s="12">
        <f t="shared" ref="P20:P51" si="5">D20*O20</f>
        <v>0</v>
      </c>
    </row>
    <row r="21" spans="1:40" ht="205" customHeight="1" x14ac:dyDescent="0.2">
      <c r="A21" s="9" t="s">
        <v>5</v>
      </c>
      <c r="B21" s="9" t="s">
        <v>53</v>
      </c>
      <c r="C21" s="10" t="s">
        <v>90</v>
      </c>
      <c r="D21" s="11">
        <v>5.3</v>
      </c>
      <c r="E21" s="13"/>
      <c r="F21" s="5"/>
      <c r="G21" s="5"/>
      <c r="H21" s="5"/>
      <c r="I21" s="5"/>
      <c r="J21" s="5"/>
      <c r="K21" s="5"/>
      <c r="L21" s="5"/>
      <c r="M21" s="5"/>
      <c r="N21" s="5"/>
      <c r="O21" s="5">
        <f t="shared" si="4"/>
        <v>0</v>
      </c>
      <c r="P21" s="12">
        <f t="shared" si="5"/>
        <v>0</v>
      </c>
    </row>
    <row r="22" spans="1:40" ht="141" customHeight="1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13"/>
      <c r="F22" s="5"/>
      <c r="G22" s="5"/>
      <c r="H22" s="5"/>
      <c r="I22" s="5"/>
      <c r="J22" s="5"/>
      <c r="K22" s="5"/>
      <c r="L22" s="5"/>
      <c r="M22" s="5"/>
      <c r="N22" s="5"/>
      <c r="O22" s="5">
        <f t="shared" si="4"/>
        <v>0</v>
      </c>
      <c r="P22" s="12">
        <f t="shared" si="5"/>
        <v>0</v>
      </c>
    </row>
    <row r="23" spans="1:40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4"/>
        <v>0</v>
      </c>
      <c r="P23" s="12">
        <f t="shared" si="5"/>
        <v>0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spans="1:40" ht="94" customHeight="1" x14ac:dyDescent="0.2">
      <c r="A24" s="9" t="s">
        <v>162</v>
      </c>
      <c r="B24" s="9" t="s">
        <v>163</v>
      </c>
      <c r="C24" s="10"/>
      <c r="D24" s="11">
        <v>0.24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4"/>
        <v>0</v>
      </c>
      <c r="P24" s="12">
        <f t="shared" si="5"/>
        <v>0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spans="1:40" ht="64" x14ac:dyDescent="0.2">
      <c r="A25" s="9" t="s">
        <v>164</v>
      </c>
      <c r="B25" s="9" t="s">
        <v>165</v>
      </c>
      <c r="C25" s="10"/>
      <c r="D25" s="11">
        <v>0.17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4"/>
        <v>0</v>
      </c>
      <c r="P25" s="12">
        <f t="shared" si="5"/>
        <v>0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spans="1:40" ht="96" x14ac:dyDescent="0.2">
      <c r="A26" s="14" t="s">
        <v>166</v>
      </c>
      <c r="B26" s="14" t="s">
        <v>167</v>
      </c>
      <c r="C26" s="10"/>
      <c r="D26" s="11">
        <v>7.2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4"/>
        <v>0</v>
      </c>
      <c r="P26" s="12">
        <f t="shared" si="5"/>
        <v>0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spans="1:40" ht="96" x14ac:dyDescent="0.2">
      <c r="A27" s="78" t="s">
        <v>316</v>
      </c>
      <c r="B27" s="14" t="s">
        <v>169</v>
      </c>
      <c r="C27" s="10"/>
      <c r="D27" s="11">
        <v>7.2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4"/>
        <v>0</v>
      </c>
      <c r="P27" s="12">
        <f t="shared" si="5"/>
        <v>0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spans="1:40" ht="96" x14ac:dyDescent="0.2">
      <c r="A28" s="78" t="s">
        <v>314</v>
      </c>
      <c r="B28" s="14" t="s">
        <v>315</v>
      </c>
      <c r="C28" s="10"/>
      <c r="D28" s="11">
        <v>7.2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si="4"/>
        <v>0</v>
      </c>
      <c r="P28" s="12">
        <f t="shared" si="5"/>
        <v>0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spans="1:40" ht="136" customHeight="1" x14ac:dyDescent="0.2">
      <c r="A29" s="14" t="s">
        <v>170</v>
      </c>
      <c r="B29" s="14" t="s">
        <v>171</v>
      </c>
      <c r="C29" s="10"/>
      <c r="D29" s="11">
        <v>7.2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 t="shared" si="4"/>
        <v>0</v>
      </c>
      <c r="P29" s="12">
        <f t="shared" si="5"/>
        <v>0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spans="1:40" ht="136" customHeight="1" x14ac:dyDescent="0.2">
      <c r="A30" s="78" t="s">
        <v>312</v>
      </c>
      <c r="B30" s="14" t="s">
        <v>173</v>
      </c>
      <c r="C30" s="10"/>
      <c r="D30" s="11">
        <v>7.2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si="4"/>
        <v>0</v>
      </c>
      <c r="P30" s="12">
        <f t="shared" si="5"/>
        <v>0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spans="1:40" ht="146" customHeight="1" x14ac:dyDescent="0.2">
      <c r="A31" s="14" t="s">
        <v>172</v>
      </c>
      <c r="B31" s="14" t="s">
        <v>173</v>
      </c>
      <c r="C31" s="10"/>
      <c r="D31" s="11">
        <v>7.2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si="4"/>
        <v>0</v>
      </c>
      <c r="P31" s="12">
        <f t="shared" si="5"/>
        <v>0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</row>
    <row r="32" spans="1:40" ht="151" customHeight="1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13"/>
      <c r="F32" s="5"/>
      <c r="G32" s="5"/>
      <c r="H32" s="5"/>
      <c r="I32" s="5"/>
      <c r="J32" s="5"/>
      <c r="K32" s="5"/>
      <c r="L32" s="5"/>
      <c r="M32" s="5"/>
      <c r="N32" s="5"/>
      <c r="O32" s="5">
        <f t="shared" si="4"/>
        <v>0</v>
      </c>
      <c r="P32" s="12">
        <f t="shared" si="5"/>
        <v>0</v>
      </c>
    </row>
    <row r="33" spans="1:16" ht="161" customHeight="1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13"/>
      <c r="F33" s="13"/>
      <c r="G33" s="5"/>
      <c r="H33" s="5"/>
      <c r="I33" s="5"/>
      <c r="J33" s="5"/>
      <c r="K33" s="5"/>
      <c r="L33" s="5"/>
      <c r="M33" s="5"/>
      <c r="N33" s="5"/>
      <c r="O33" s="5">
        <f t="shared" si="4"/>
        <v>0</v>
      </c>
      <c r="P33" s="12">
        <f t="shared" si="5"/>
        <v>0</v>
      </c>
    </row>
    <row r="34" spans="1:16" ht="139" customHeight="1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13"/>
      <c r="F34" s="13"/>
      <c r="G34" s="5"/>
      <c r="H34" s="5"/>
      <c r="I34" s="5"/>
      <c r="J34" s="5"/>
      <c r="K34" s="5"/>
      <c r="L34" s="5"/>
      <c r="M34" s="5"/>
      <c r="N34" s="5"/>
      <c r="O34" s="5">
        <f t="shared" si="4"/>
        <v>0</v>
      </c>
      <c r="P34" s="12">
        <f t="shared" si="5"/>
        <v>0</v>
      </c>
    </row>
    <row r="35" spans="1:16" ht="143" customHeight="1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13"/>
      <c r="F35" s="13"/>
      <c r="G35" s="5"/>
      <c r="H35" s="5"/>
      <c r="I35" s="5"/>
      <c r="J35" s="5"/>
      <c r="K35" s="5"/>
      <c r="L35" s="5"/>
      <c r="M35" s="5"/>
      <c r="N35" s="5"/>
      <c r="O35" s="5">
        <f t="shared" si="4"/>
        <v>0</v>
      </c>
      <c r="P35" s="12">
        <f t="shared" si="5"/>
        <v>0</v>
      </c>
    </row>
    <row r="36" spans="1:16" ht="195" customHeight="1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13"/>
      <c r="F36" s="13"/>
      <c r="G36" s="5"/>
      <c r="H36" s="5"/>
      <c r="I36" s="5"/>
      <c r="J36" s="5"/>
      <c r="K36" s="5"/>
      <c r="L36" s="5"/>
      <c r="M36" s="5"/>
      <c r="N36" s="5"/>
      <c r="O36" s="5">
        <f t="shared" si="4"/>
        <v>0</v>
      </c>
      <c r="P36" s="12">
        <f t="shared" si="5"/>
        <v>0</v>
      </c>
    </row>
    <row r="37" spans="1:16" s="1" customFormat="1" ht="160" customHeight="1" x14ac:dyDescent="0.2">
      <c r="A37" s="9" t="s">
        <v>143</v>
      </c>
      <c r="B37" s="9" t="s">
        <v>152</v>
      </c>
      <c r="C37" s="10" t="s">
        <v>9</v>
      </c>
      <c r="D37" s="11">
        <v>6.6220000000000008</v>
      </c>
      <c r="E37" s="13"/>
      <c r="F37" s="5"/>
      <c r="G37" s="5"/>
      <c r="H37" s="5"/>
      <c r="I37" s="5"/>
      <c r="J37" s="5"/>
      <c r="K37" s="5"/>
      <c r="L37" s="5"/>
      <c r="M37" s="5"/>
      <c r="N37" s="5"/>
      <c r="O37" s="5">
        <f t="shared" si="4"/>
        <v>0</v>
      </c>
      <c r="P37" s="12">
        <f t="shared" si="5"/>
        <v>0</v>
      </c>
    </row>
    <row r="38" spans="1:16" ht="160" customHeight="1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13"/>
      <c r="F38" s="5"/>
      <c r="G38" s="5"/>
      <c r="H38" s="5"/>
      <c r="I38" s="5"/>
      <c r="J38" s="5"/>
      <c r="K38" s="5"/>
      <c r="L38" s="5"/>
      <c r="M38" s="5"/>
      <c r="N38" s="5"/>
      <c r="O38" s="5">
        <f t="shared" si="4"/>
        <v>0</v>
      </c>
      <c r="P38" s="12">
        <f t="shared" si="5"/>
        <v>0</v>
      </c>
    </row>
    <row r="39" spans="1:16" ht="188" customHeight="1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13"/>
      <c r="F39" s="5"/>
      <c r="G39" s="5"/>
      <c r="H39" s="5"/>
      <c r="I39" s="5"/>
      <c r="J39" s="5"/>
      <c r="K39" s="5"/>
      <c r="L39" s="5"/>
      <c r="M39" s="5"/>
      <c r="N39" s="5"/>
      <c r="O39" s="5">
        <f t="shared" si="4"/>
        <v>0</v>
      </c>
      <c r="P39" s="12">
        <f t="shared" si="5"/>
        <v>0</v>
      </c>
    </row>
    <row r="40" spans="1:16" ht="170" customHeight="1" x14ac:dyDescent="0.2">
      <c r="A40" s="9" t="s">
        <v>117</v>
      </c>
      <c r="B40" s="9" t="s">
        <v>98</v>
      </c>
      <c r="C40" s="10" t="s">
        <v>9</v>
      </c>
      <c r="D40" s="11">
        <v>7.22</v>
      </c>
      <c r="E40" s="13"/>
      <c r="F40" s="5"/>
      <c r="G40" s="5"/>
      <c r="H40" s="5"/>
      <c r="I40" s="5"/>
      <c r="J40" s="5"/>
      <c r="K40" s="5"/>
      <c r="L40" s="5"/>
      <c r="M40" s="5"/>
      <c r="N40" s="5"/>
      <c r="O40" s="5">
        <f t="shared" si="4"/>
        <v>0</v>
      </c>
      <c r="P40" s="12">
        <f t="shared" si="5"/>
        <v>0</v>
      </c>
    </row>
    <row r="41" spans="1:16" ht="170" customHeight="1" x14ac:dyDescent="0.2">
      <c r="A41" s="9" t="s">
        <v>11</v>
      </c>
      <c r="B41" s="9" t="s">
        <v>57</v>
      </c>
      <c r="C41" s="10" t="s">
        <v>9</v>
      </c>
      <c r="D41" s="11">
        <v>5.16</v>
      </c>
      <c r="E41" s="13"/>
      <c r="F41" s="5"/>
      <c r="G41" s="5"/>
      <c r="H41" s="5"/>
      <c r="I41" s="5"/>
      <c r="J41" s="5"/>
      <c r="K41" s="5"/>
      <c r="L41" s="5"/>
      <c r="M41" s="5"/>
      <c r="N41" s="5"/>
      <c r="O41" s="5">
        <f t="shared" si="4"/>
        <v>0</v>
      </c>
      <c r="P41" s="12">
        <f t="shared" si="5"/>
        <v>0</v>
      </c>
    </row>
    <row r="42" spans="1:16" ht="136" customHeight="1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13"/>
      <c r="F42" s="13"/>
      <c r="G42" s="5"/>
      <c r="H42" s="5"/>
      <c r="I42" s="5"/>
      <c r="J42" s="5"/>
      <c r="K42" s="5"/>
      <c r="L42" s="5"/>
      <c r="M42" s="5"/>
      <c r="N42" s="5"/>
      <c r="O42" s="5">
        <f t="shared" si="4"/>
        <v>0</v>
      </c>
      <c r="P42" s="12">
        <f t="shared" si="5"/>
        <v>0</v>
      </c>
    </row>
    <row r="43" spans="1:16" ht="142" customHeight="1" x14ac:dyDescent="0.2">
      <c r="A43" s="9" t="s">
        <v>115</v>
      </c>
      <c r="B43" s="9" t="s">
        <v>58</v>
      </c>
      <c r="C43" s="10" t="s">
        <v>9</v>
      </c>
      <c r="D43" s="11">
        <v>7.22</v>
      </c>
      <c r="E43" s="13"/>
      <c r="F43" s="13"/>
      <c r="G43" s="5"/>
      <c r="H43" s="5"/>
      <c r="I43" s="5"/>
      <c r="J43" s="5"/>
      <c r="K43" s="5"/>
      <c r="L43" s="5"/>
      <c r="M43" s="5"/>
      <c r="N43" s="5"/>
      <c r="O43" s="5">
        <f t="shared" si="4"/>
        <v>0</v>
      </c>
      <c r="P43" s="12">
        <f t="shared" si="5"/>
        <v>0</v>
      </c>
    </row>
    <row r="44" spans="1:16" ht="136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13"/>
      <c r="F44" s="5"/>
      <c r="G44" s="5">
        <f>14*G3</f>
        <v>0</v>
      </c>
      <c r="H44" s="5">
        <f>14*H3</f>
        <v>0</v>
      </c>
      <c r="I44" s="5">
        <f>14*I3</f>
        <v>0</v>
      </c>
      <c r="J44" s="5"/>
      <c r="K44" s="5"/>
      <c r="L44" s="5"/>
      <c r="M44" s="5"/>
      <c r="N44" s="5"/>
      <c r="O44" s="5">
        <f t="shared" si="4"/>
        <v>0</v>
      </c>
      <c r="P44" s="12">
        <f t="shared" si="5"/>
        <v>0</v>
      </c>
    </row>
    <row r="45" spans="1:16" ht="180" customHeight="1" x14ac:dyDescent="0.2">
      <c r="A45" s="9" t="s">
        <v>13</v>
      </c>
      <c r="B45" s="9" t="s">
        <v>60</v>
      </c>
      <c r="C45" s="10"/>
      <c r="D45" s="11">
        <v>0.73</v>
      </c>
      <c r="E45" s="13">
        <f>14*E3</f>
        <v>0</v>
      </c>
      <c r="F45" s="13">
        <f>14*F3</f>
        <v>0</v>
      </c>
      <c r="G45" s="5"/>
      <c r="H45" s="5"/>
      <c r="I45" s="5"/>
      <c r="J45" s="5">
        <f>14*J3</f>
        <v>0</v>
      </c>
      <c r="K45" s="5"/>
      <c r="L45" s="5"/>
      <c r="M45" s="5"/>
      <c r="N45" s="5"/>
      <c r="O45" s="5">
        <f t="shared" si="4"/>
        <v>0</v>
      </c>
      <c r="P45" s="12">
        <f t="shared" si="5"/>
        <v>0</v>
      </c>
    </row>
    <row r="46" spans="1:16" ht="180" customHeight="1" x14ac:dyDescent="0.2">
      <c r="A46" s="9" t="s">
        <v>135</v>
      </c>
      <c r="B46" s="9" t="s">
        <v>134</v>
      </c>
      <c r="C46" s="10"/>
      <c r="D46" s="11">
        <v>0.73</v>
      </c>
      <c r="E46" s="13"/>
      <c r="F46" s="13"/>
      <c r="G46" s="5"/>
      <c r="H46" s="5"/>
      <c r="I46" s="5"/>
      <c r="J46" s="5"/>
      <c r="K46" s="5"/>
      <c r="L46" s="5"/>
      <c r="M46" s="5"/>
      <c r="N46" s="5"/>
      <c r="O46" s="5">
        <f t="shared" si="4"/>
        <v>0</v>
      </c>
      <c r="P46" s="12">
        <f t="shared" si="5"/>
        <v>0</v>
      </c>
    </row>
    <row r="47" spans="1:16" ht="198" customHeight="1" x14ac:dyDescent="0.2">
      <c r="A47" s="14" t="s">
        <v>14</v>
      </c>
      <c r="B47" s="14" t="s">
        <v>61</v>
      </c>
      <c r="C47" s="10"/>
      <c r="D47" s="11">
        <v>1.8620000000000001</v>
      </c>
      <c r="E47" s="13"/>
      <c r="F47" s="5"/>
      <c r="G47" s="5"/>
      <c r="H47" s="5"/>
      <c r="I47" s="5"/>
      <c r="J47" s="5"/>
      <c r="K47" s="5"/>
      <c r="L47" s="5"/>
      <c r="M47" s="5"/>
      <c r="N47" s="5"/>
      <c r="O47" s="5">
        <f t="shared" si="4"/>
        <v>0</v>
      </c>
      <c r="P47" s="12">
        <f t="shared" si="5"/>
        <v>0</v>
      </c>
    </row>
    <row r="48" spans="1:16" ht="128" customHeight="1" x14ac:dyDescent="0.2">
      <c r="A48" s="14" t="s">
        <v>15</v>
      </c>
      <c r="B48" s="14" t="s">
        <v>62</v>
      </c>
      <c r="C48" s="10"/>
      <c r="D48" s="11">
        <v>0.96600000000000008</v>
      </c>
      <c r="E48" s="13"/>
      <c r="F48" s="5"/>
      <c r="G48" s="5"/>
      <c r="H48" s="5"/>
      <c r="I48" s="5">
        <f>1*I3</f>
        <v>0</v>
      </c>
      <c r="J48" s="5">
        <f>1*J3</f>
        <v>0</v>
      </c>
      <c r="K48" s="5"/>
      <c r="L48" s="5"/>
      <c r="M48" s="5"/>
      <c r="N48" s="5"/>
      <c r="O48" s="5">
        <f t="shared" si="4"/>
        <v>0</v>
      </c>
      <c r="P48" s="12">
        <f t="shared" si="5"/>
        <v>0</v>
      </c>
    </row>
    <row r="49" spans="1:40" ht="126" customHeight="1" x14ac:dyDescent="0.2">
      <c r="A49" s="14" t="s">
        <v>16</v>
      </c>
      <c r="B49" s="14" t="s">
        <v>63</v>
      </c>
      <c r="C49" s="10"/>
      <c r="D49" s="11">
        <v>0.83</v>
      </c>
      <c r="E49" s="13">
        <f>1*E3</f>
        <v>0</v>
      </c>
      <c r="F49" s="13">
        <f>1*F3</f>
        <v>0</v>
      </c>
      <c r="G49" s="13">
        <f>1*G3</f>
        <v>0</v>
      </c>
      <c r="H49" s="13">
        <f>1*H3</f>
        <v>0</v>
      </c>
      <c r="I49" s="5"/>
      <c r="J49" s="5"/>
      <c r="K49" s="5"/>
      <c r="L49" s="5"/>
      <c r="M49" s="5"/>
      <c r="N49" s="5"/>
      <c r="O49" s="5">
        <f t="shared" si="4"/>
        <v>0</v>
      </c>
      <c r="P49" s="12">
        <f t="shared" si="5"/>
        <v>0</v>
      </c>
    </row>
    <row r="50" spans="1:40" ht="108" customHeight="1" x14ac:dyDescent="0.2">
      <c r="A50" s="14" t="s">
        <v>17</v>
      </c>
      <c r="B50" s="14" t="s">
        <v>64</v>
      </c>
      <c r="C50" s="10"/>
      <c r="D50" s="11">
        <v>10.497199999999999</v>
      </c>
      <c r="E50" s="13">
        <f>2*E3</f>
        <v>0</v>
      </c>
      <c r="F50" s="13">
        <f>1*F3</f>
        <v>0</v>
      </c>
      <c r="G50" s="13">
        <f>2*G3</f>
        <v>0</v>
      </c>
      <c r="H50" s="13">
        <f>1*H3</f>
        <v>0</v>
      </c>
      <c r="I50" s="5">
        <f>2*I3</f>
        <v>0</v>
      </c>
      <c r="J50" s="5">
        <f>2*J3</f>
        <v>0</v>
      </c>
      <c r="K50" s="5"/>
      <c r="L50" s="5"/>
      <c r="M50" s="5"/>
      <c r="N50" s="5"/>
      <c r="O50" s="5">
        <f t="shared" si="4"/>
        <v>0</v>
      </c>
      <c r="P50" s="12">
        <f t="shared" si="5"/>
        <v>0</v>
      </c>
    </row>
    <row r="51" spans="1:40" ht="47" x14ac:dyDescent="0.2">
      <c r="A51" s="14" t="s">
        <v>174</v>
      </c>
      <c r="B51" s="48" t="s">
        <v>190</v>
      </c>
      <c r="C51" s="10"/>
      <c r="D51" s="11">
        <v>8.6295999999999999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f t="shared" si="4"/>
        <v>0</v>
      </c>
      <c r="P51" s="12">
        <f t="shared" si="5"/>
        <v>0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</row>
    <row r="52" spans="1:40" ht="47" x14ac:dyDescent="0.2">
      <c r="A52" s="14" t="s">
        <v>175</v>
      </c>
      <c r="B52" s="48" t="s">
        <v>191</v>
      </c>
      <c r="C52" s="10"/>
      <c r="D52" s="11">
        <v>6.78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f t="shared" ref="O52:O82" si="6">SUM(E52:J52)</f>
        <v>0</v>
      </c>
      <c r="P52" s="12">
        <f t="shared" ref="P52:P83" si="7">D52*O52</f>
        <v>0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</row>
    <row r="53" spans="1:40" ht="108" customHeight="1" x14ac:dyDescent="0.2">
      <c r="A53" s="14" t="s">
        <v>18</v>
      </c>
      <c r="B53" s="14" t="s">
        <v>65</v>
      </c>
      <c r="C53" s="10"/>
      <c r="D53" s="11">
        <v>6.78</v>
      </c>
      <c r="E53" s="13"/>
      <c r="F53" s="5"/>
      <c r="G53" s="5"/>
      <c r="H53" s="5"/>
      <c r="I53" s="5"/>
      <c r="J53" s="5"/>
      <c r="K53" s="5"/>
      <c r="L53" s="5"/>
      <c r="M53" s="5"/>
      <c r="N53" s="5"/>
      <c r="O53" s="5">
        <f t="shared" si="6"/>
        <v>0</v>
      </c>
      <c r="P53" s="12">
        <f t="shared" si="7"/>
        <v>0</v>
      </c>
    </row>
    <row r="54" spans="1:40" ht="32" x14ac:dyDescent="0.2">
      <c r="A54" s="14" t="s">
        <v>19</v>
      </c>
      <c r="B54" s="14" t="s">
        <v>66</v>
      </c>
      <c r="C54" s="10"/>
      <c r="D54" s="11">
        <v>2.6661599999999996</v>
      </c>
      <c r="E54" s="13"/>
      <c r="F54" s="5"/>
      <c r="G54" s="5">
        <f>2*G3</f>
        <v>0</v>
      </c>
      <c r="H54" s="5">
        <f>1*H3</f>
        <v>0</v>
      </c>
      <c r="I54" s="5">
        <f>2*I3</f>
        <v>0</v>
      </c>
      <c r="J54" s="5"/>
      <c r="K54" s="5"/>
      <c r="L54" s="5"/>
      <c r="M54" s="5"/>
      <c r="N54" s="5"/>
      <c r="O54" s="5">
        <f t="shared" si="6"/>
        <v>0</v>
      </c>
      <c r="P54" s="12">
        <f t="shared" si="7"/>
        <v>0</v>
      </c>
    </row>
    <row r="55" spans="1:40" ht="32" x14ac:dyDescent="0.2">
      <c r="A55" s="14" t="s">
        <v>20</v>
      </c>
      <c r="B55" s="14" t="s">
        <v>67</v>
      </c>
      <c r="C55" s="10"/>
      <c r="D55" s="11">
        <v>3.4389599999999998</v>
      </c>
      <c r="E55" s="13">
        <f>2*E3</f>
        <v>0</v>
      </c>
      <c r="F55" s="13">
        <f>1*F3</f>
        <v>0</v>
      </c>
      <c r="G55" s="13"/>
      <c r="H55" s="13"/>
      <c r="I55" s="5"/>
      <c r="J55" s="5">
        <f>2*J3</f>
        <v>0</v>
      </c>
      <c r="K55" s="5"/>
      <c r="L55" s="5"/>
      <c r="M55" s="5"/>
      <c r="N55" s="5"/>
      <c r="O55" s="5">
        <f t="shared" si="6"/>
        <v>0</v>
      </c>
      <c r="P55" s="12">
        <f t="shared" si="7"/>
        <v>0</v>
      </c>
    </row>
    <row r="56" spans="1:40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E56" s="13"/>
      <c r="F56" s="13"/>
      <c r="G56" s="13"/>
      <c r="H56" s="5"/>
      <c r="I56" s="12"/>
      <c r="O56" s="5">
        <f t="shared" si="6"/>
        <v>0</v>
      </c>
      <c r="P56" s="12">
        <f t="shared" si="7"/>
        <v>0</v>
      </c>
    </row>
    <row r="57" spans="1:40" ht="162" customHeight="1" x14ac:dyDescent="0.2">
      <c r="A57" s="14" t="s">
        <v>22</v>
      </c>
      <c r="B57" s="14" t="s">
        <v>70</v>
      </c>
      <c r="C57" s="10"/>
      <c r="D57" s="11">
        <v>0.15512465373961221</v>
      </c>
      <c r="E57" s="13">
        <f>2*E3</f>
        <v>0</v>
      </c>
      <c r="F57" s="13">
        <f>1*F3</f>
        <v>0</v>
      </c>
      <c r="G57" s="13">
        <f>2*G3</f>
        <v>0</v>
      </c>
      <c r="H57" s="13">
        <f>1*H3</f>
        <v>0</v>
      </c>
      <c r="I57" s="5">
        <f>2*I3</f>
        <v>0</v>
      </c>
      <c r="J57" s="5">
        <f>2*J3</f>
        <v>0</v>
      </c>
      <c r="K57" s="5"/>
      <c r="L57" s="5"/>
      <c r="M57" s="5"/>
      <c r="N57" s="5"/>
      <c r="O57" s="5">
        <f t="shared" si="6"/>
        <v>0</v>
      </c>
      <c r="P57" s="12">
        <f t="shared" si="7"/>
        <v>0</v>
      </c>
    </row>
    <row r="58" spans="1:40" ht="164" customHeight="1" x14ac:dyDescent="0.2">
      <c r="A58" s="14" t="s">
        <v>23</v>
      </c>
      <c r="B58" s="14" t="s">
        <v>69</v>
      </c>
      <c r="C58" s="10"/>
      <c r="D58" s="11">
        <v>0.27922437673130196</v>
      </c>
      <c r="E58" s="13">
        <f>2*E3</f>
        <v>0</v>
      </c>
      <c r="F58" s="13">
        <f>1*F3</f>
        <v>0</v>
      </c>
      <c r="G58" s="13">
        <f>2*G3</f>
        <v>0</v>
      </c>
      <c r="H58" s="13">
        <f>1*H3</f>
        <v>0</v>
      </c>
      <c r="I58" s="5">
        <f>2*I3</f>
        <v>0</v>
      </c>
      <c r="J58" s="5">
        <f>2*J3</f>
        <v>0</v>
      </c>
      <c r="K58" s="5"/>
      <c r="L58" s="5"/>
      <c r="M58" s="5"/>
      <c r="N58" s="5"/>
      <c r="O58" s="5">
        <f t="shared" si="6"/>
        <v>0</v>
      </c>
      <c r="P58" s="12">
        <f t="shared" si="7"/>
        <v>0</v>
      </c>
    </row>
    <row r="59" spans="1:40" ht="174" customHeight="1" x14ac:dyDescent="0.2">
      <c r="A59" s="14" t="s">
        <v>24</v>
      </c>
      <c r="B59" s="14" t="s">
        <v>68</v>
      </c>
      <c r="C59" s="10"/>
      <c r="D59" s="11">
        <v>0.12409972299168978</v>
      </c>
      <c r="E59" s="13">
        <f>2*E3</f>
        <v>0</v>
      </c>
      <c r="F59" s="13">
        <f>1*F3</f>
        <v>0</v>
      </c>
      <c r="G59" s="13">
        <f>2*G3</f>
        <v>0</v>
      </c>
      <c r="H59" s="13">
        <f>1*H3</f>
        <v>0</v>
      </c>
      <c r="I59" s="5">
        <f>2*I3</f>
        <v>0</v>
      </c>
      <c r="J59" s="5">
        <f>2*J3</f>
        <v>0</v>
      </c>
      <c r="K59" s="5"/>
      <c r="L59" s="5"/>
      <c r="M59" s="5"/>
      <c r="N59" s="5"/>
      <c r="O59" s="5">
        <f t="shared" si="6"/>
        <v>0</v>
      </c>
      <c r="P59" s="12">
        <f t="shared" si="7"/>
        <v>0</v>
      </c>
    </row>
    <row r="60" spans="1:40" ht="152" customHeight="1" x14ac:dyDescent="0.2">
      <c r="A60" s="14" t="s">
        <v>25</v>
      </c>
      <c r="B60" s="14" t="s">
        <v>71</v>
      </c>
      <c r="C60" s="10"/>
      <c r="D60" s="11">
        <v>3.1024930747922445E-2</v>
      </c>
      <c r="E60" s="13">
        <f>2*E3</f>
        <v>0</v>
      </c>
      <c r="F60" s="13">
        <f>1*F3</f>
        <v>0</v>
      </c>
      <c r="G60" s="13">
        <f>2*G3</f>
        <v>0</v>
      </c>
      <c r="H60" s="13">
        <f>1*H3</f>
        <v>0</v>
      </c>
      <c r="I60" s="5">
        <f>2*I3</f>
        <v>0</v>
      </c>
      <c r="J60" s="5">
        <f>2*J3</f>
        <v>0</v>
      </c>
      <c r="K60" s="5"/>
      <c r="L60" s="5"/>
      <c r="M60" s="5"/>
      <c r="N60" s="5"/>
      <c r="O60" s="5">
        <f t="shared" si="6"/>
        <v>0</v>
      </c>
      <c r="P60" s="12">
        <f t="shared" si="7"/>
        <v>0</v>
      </c>
    </row>
    <row r="61" spans="1:40" ht="128" customHeight="1" x14ac:dyDescent="0.2">
      <c r="A61" s="14" t="s">
        <v>26</v>
      </c>
      <c r="B61" s="14" t="s">
        <v>72</v>
      </c>
      <c r="C61" s="10"/>
      <c r="D61" s="11">
        <v>3.49</v>
      </c>
      <c r="E61" s="13"/>
      <c r="F61" s="5"/>
      <c r="G61" s="5"/>
      <c r="H61" s="5"/>
      <c r="I61" s="5"/>
      <c r="J61" s="5"/>
      <c r="K61" s="5"/>
      <c r="L61" s="5"/>
      <c r="M61" s="5"/>
      <c r="N61" s="5"/>
      <c r="O61" s="5">
        <f t="shared" si="6"/>
        <v>0</v>
      </c>
      <c r="P61" s="12">
        <f t="shared" si="7"/>
        <v>0</v>
      </c>
    </row>
    <row r="62" spans="1:40" ht="161" customHeight="1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13"/>
      <c r="F62" s="5"/>
      <c r="G62" s="5"/>
      <c r="H62" s="5"/>
      <c r="I62" s="5"/>
      <c r="J62" s="5"/>
      <c r="K62" s="5"/>
      <c r="L62" s="5"/>
      <c r="M62" s="5"/>
      <c r="N62" s="5"/>
      <c r="O62" s="5">
        <f t="shared" si="6"/>
        <v>0</v>
      </c>
      <c r="P62" s="12">
        <f t="shared" si="7"/>
        <v>0</v>
      </c>
    </row>
    <row r="63" spans="1:40" ht="167" customHeight="1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3"/>
      <c r="F63" s="5"/>
      <c r="G63" s="5"/>
      <c r="H63" s="5"/>
      <c r="I63" s="5"/>
      <c r="J63" s="5"/>
      <c r="K63" s="5"/>
      <c r="L63" s="5"/>
      <c r="M63" s="5"/>
      <c r="N63" s="5"/>
      <c r="O63" s="5">
        <f t="shared" si="6"/>
        <v>0</v>
      </c>
      <c r="P63" s="12">
        <f t="shared" si="7"/>
        <v>0</v>
      </c>
    </row>
    <row r="64" spans="1:40" ht="126" customHeight="1" x14ac:dyDescent="0.2">
      <c r="A64" s="14" t="s">
        <v>29</v>
      </c>
      <c r="B64" s="14" t="s">
        <v>75</v>
      </c>
      <c r="C64" s="10"/>
      <c r="D64" s="11">
        <v>1.1399999999999999</v>
      </c>
      <c r="E64" s="13">
        <f>2*E3</f>
        <v>0</v>
      </c>
      <c r="F64" s="13">
        <f>1*F3</f>
        <v>0</v>
      </c>
      <c r="G64" s="13">
        <f>2*G3</f>
        <v>0</v>
      </c>
      <c r="H64" s="13">
        <f>1*H3</f>
        <v>0</v>
      </c>
      <c r="I64" s="5">
        <f>2*I3</f>
        <v>0</v>
      </c>
      <c r="J64" s="5">
        <f>2*J3</f>
        <v>0</v>
      </c>
      <c r="K64" s="5"/>
      <c r="L64" s="5"/>
      <c r="M64" s="5"/>
      <c r="N64" s="5"/>
      <c r="O64" s="5">
        <f t="shared" si="6"/>
        <v>0</v>
      </c>
      <c r="P64" s="12">
        <f t="shared" si="7"/>
        <v>0</v>
      </c>
    </row>
    <row r="65" spans="1:40" ht="94" customHeight="1" x14ac:dyDescent="0.2">
      <c r="A65" s="14" t="s">
        <v>30</v>
      </c>
      <c r="B65" s="14" t="s">
        <v>76</v>
      </c>
      <c r="C65" s="10"/>
      <c r="D65" s="11">
        <v>1.22</v>
      </c>
      <c r="E65" s="13"/>
      <c r="F65" s="5"/>
      <c r="G65" s="5"/>
      <c r="H65" s="5"/>
      <c r="I65" s="5"/>
      <c r="J65" s="5"/>
      <c r="K65" s="5"/>
      <c r="L65" s="5"/>
      <c r="M65" s="5"/>
      <c r="N65" s="5"/>
      <c r="O65" s="5">
        <f t="shared" si="6"/>
        <v>0</v>
      </c>
      <c r="P65" s="12">
        <f t="shared" si="7"/>
        <v>0</v>
      </c>
    </row>
    <row r="66" spans="1:40" ht="132" customHeight="1" x14ac:dyDescent="0.2">
      <c r="A66" s="14" t="s">
        <v>31</v>
      </c>
      <c r="B66" s="14" t="s">
        <v>187</v>
      </c>
      <c r="C66" s="10"/>
      <c r="D66" s="11">
        <v>2.15</v>
      </c>
      <c r="E66" s="13"/>
      <c r="F66" s="5"/>
      <c r="G66" s="5"/>
      <c r="H66" s="5"/>
      <c r="I66" s="5"/>
      <c r="J66" s="5"/>
      <c r="K66" s="5"/>
      <c r="L66" s="5"/>
      <c r="M66" s="5"/>
      <c r="N66" s="5"/>
      <c r="O66" s="5">
        <f t="shared" si="6"/>
        <v>0</v>
      </c>
      <c r="P66" s="12">
        <f t="shared" si="7"/>
        <v>0</v>
      </c>
    </row>
    <row r="67" spans="1:40" ht="152" customHeight="1" x14ac:dyDescent="0.2">
      <c r="A67" s="14" t="s">
        <v>32</v>
      </c>
      <c r="B67" s="14" t="s">
        <v>77</v>
      </c>
      <c r="C67" s="10"/>
      <c r="D67" s="11">
        <v>5.5579999999999998</v>
      </c>
      <c r="E67" s="13">
        <f>1*E3</f>
        <v>0</v>
      </c>
      <c r="F67" s="13"/>
      <c r="G67" s="13">
        <f>1*G3</f>
        <v>0</v>
      </c>
      <c r="H67" s="5"/>
      <c r="I67" s="5">
        <f>1*I3</f>
        <v>0</v>
      </c>
      <c r="J67" s="5">
        <f>1*J3</f>
        <v>0</v>
      </c>
      <c r="K67" s="5"/>
      <c r="L67" s="5"/>
      <c r="M67" s="5"/>
      <c r="N67" s="5"/>
      <c r="O67" s="5">
        <f t="shared" si="6"/>
        <v>0</v>
      </c>
      <c r="P67" s="12">
        <f t="shared" si="7"/>
        <v>0</v>
      </c>
    </row>
    <row r="68" spans="1:40" ht="160" customHeight="1" x14ac:dyDescent="0.2">
      <c r="A68" s="14" t="s">
        <v>33</v>
      </c>
      <c r="B68" s="14" t="s">
        <v>78</v>
      </c>
      <c r="C68" s="10"/>
      <c r="D68" s="11">
        <v>5.5579999999999998</v>
      </c>
      <c r="E68" s="13">
        <f>1*E3</f>
        <v>0</v>
      </c>
      <c r="F68" s="13"/>
      <c r="G68" s="13">
        <f>1*G3</f>
        <v>0</v>
      </c>
      <c r="H68" s="5"/>
      <c r="I68" s="5">
        <f>1*I3</f>
        <v>0</v>
      </c>
      <c r="J68" s="5">
        <f>1*J3</f>
        <v>0</v>
      </c>
      <c r="K68" s="5"/>
      <c r="L68" s="5"/>
      <c r="M68" s="5"/>
      <c r="N68" s="5"/>
      <c r="O68" s="5">
        <f t="shared" si="6"/>
        <v>0</v>
      </c>
      <c r="P68" s="12">
        <f t="shared" si="7"/>
        <v>0</v>
      </c>
    </row>
    <row r="69" spans="1:40" ht="64" x14ac:dyDescent="0.2">
      <c r="A69" s="14" t="s">
        <v>176</v>
      </c>
      <c r="B69" s="14" t="s">
        <v>192</v>
      </c>
      <c r="C69" s="10"/>
      <c r="D69" s="11">
        <v>5.5579999999999998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f t="shared" si="6"/>
        <v>0</v>
      </c>
      <c r="P69" s="12">
        <f t="shared" si="7"/>
        <v>0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spans="1:40" ht="64" x14ac:dyDescent="0.2">
      <c r="A70" s="14" t="s">
        <v>177</v>
      </c>
      <c r="B70" s="14" t="s">
        <v>193</v>
      </c>
      <c r="C70" s="10"/>
      <c r="D70" s="11">
        <v>5.5579999999999998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f t="shared" si="6"/>
        <v>0</v>
      </c>
      <c r="P70" s="12">
        <f t="shared" si="7"/>
        <v>0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spans="1:40" ht="64" x14ac:dyDescent="0.2">
      <c r="A71" s="14" t="s">
        <v>178</v>
      </c>
      <c r="B71" s="14" t="s">
        <v>194</v>
      </c>
      <c r="C71" s="10"/>
      <c r="D71" s="11">
        <v>5.5579999999999998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5">
        <f t="shared" si="6"/>
        <v>0</v>
      </c>
      <c r="P71" s="12">
        <f t="shared" si="7"/>
        <v>0</v>
      </c>
    </row>
    <row r="72" spans="1:40" ht="64" x14ac:dyDescent="0.2">
      <c r="A72" s="14" t="s">
        <v>179</v>
      </c>
      <c r="B72" s="14" t="s">
        <v>195</v>
      </c>
      <c r="C72" s="10"/>
      <c r="D72" s="11">
        <v>5.5579999999999998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5">
        <f t="shared" si="6"/>
        <v>0</v>
      </c>
      <c r="P72" s="12">
        <f t="shared" si="7"/>
        <v>0</v>
      </c>
    </row>
    <row r="73" spans="1:40" ht="142" customHeight="1" x14ac:dyDescent="0.2">
      <c r="A73" s="14" t="s">
        <v>34</v>
      </c>
      <c r="B73" s="14" t="s">
        <v>79</v>
      </c>
      <c r="C73" s="10"/>
      <c r="D73" s="11">
        <v>3.3879999999999999</v>
      </c>
      <c r="E73" s="13"/>
      <c r="F73" s="5"/>
      <c r="G73" s="5"/>
      <c r="H73" s="5"/>
      <c r="I73" s="5"/>
      <c r="J73" s="5"/>
      <c r="K73" s="5"/>
      <c r="L73" s="5"/>
      <c r="M73" s="5"/>
      <c r="N73" s="5"/>
      <c r="O73" s="5">
        <f t="shared" si="6"/>
        <v>0</v>
      </c>
      <c r="P73" s="12">
        <f t="shared" si="7"/>
        <v>0</v>
      </c>
    </row>
    <row r="74" spans="1:40" ht="110" customHeight="1" x14ac:dyDescent="0.2">
      <c r="A74" s="14" t="s">
        <v>35</v>
      </c>
      <c r="B74" s="14" t="s">
        <v>80</v>
      </c>
      <c r="C74" s="10"/>
      <c r="D74" s="11">
        <v>3.3879999999999999</v>
      </c>
      <c r="E74" s="13"/>
      <c r="F74" s="5"/>
      <c r="G74" s="5"/>
      <c r="H74" s="5"/>
      <c r="I74" s="5"/>
      <c r="J74" s="5"/>
      <c r="K74" s="5"/>
      <c r="L74" s="5"/>
      <c r="M74" s="5"/>
      <c r="N74" s="5"/>
      <c r="O74" s="5">
        <f t="shared" si="6"/>
        <v>0</v>
      </c>
      <c r="P74" s="12">
        <f t="shared" si="7"/>
        <v>0</v>
      </c>
    </row>
    <row r="75" spans="1:40" ht="108" customHeight="1" x14ac:dyDescent="0.2">
      <c r="A75" s="14" t="s">
        <v>36</v>
      </c>
      <c r="B75" s="14" t="s">
        <v>81</v>
      </c>
      <c r="C75" s="10"/>
      <c r="D75" s="11">
        <v>2.1280000000000001</v>
      </c>
      <c r="E75" s="13"/>
      <c r="F75" s="5"/>
      <c r="G75" s="5"/>
      <c r="H75" s="5"/>
      <c r="I75" s="5"/>
      <c r="J75" s="5"/>
      <c r="K75" s="5"/>
      <c r="L75" s="5"/>
      <c r="M75" s="5"/>
      <c r="N75" s="5"/>
      <c r="O75" s="5">
        <f t="shared" si="6"/>
        <v>0</v>
      </c>
      <c r="P75" s="12">
        <f t="shared" si="7"/>
        <v>0</v>
      </c>
    </row>
    <row r="76" spans="1:40" ht="132" customHeight="1" x14ac:dyDescent="0.2">
      <c r="A76" s="14" t="s">
        <v>37</v>
      </c>
      <c r="B76" s="14" t="s">
        <v>82</v>
      </c>
      <c r="C76" s="10"/>
      <c r="D76" s="11">
        <v>2.702</v>
      </c>
      <c r="E76" s="13"/>
      <c r="F76" s="5"/>
      <c r="G76" s="5"/>
      <c r="H76" s="5"/>
      <c r="I76" s="5"/>
      <c r="J76" s="5"/>
      <c r="K76" s="5"/>
      <c r="L76" s="5"/>
      <c r="M76" s="5"/>
      <c r="N76" s="5"/>
      <c r="O76" s="5">
        <f t="shared" si="6"/>
        <v>0</v>
      </c>
      <c r="P76" s="12">
        <f t="shared" si="7"/>
        <v>0</v>
      </c>
    </row>
    <row r="77" spans="1:40" ht="128" customHeight="1" x14ac:dyDescent="0.2">
      <c r="A77" s="14" t="s">
        <v>38</v>
      </c>
      <c r="B77" s="14" t="s">
        <v>83</v>
      </c>
      <c r="C77" s="10"/>
      <c r="D77" s="11">
        <v>0.68599999999999994</v>
      </c>
      <c r="E77" s="13"/>
      <c r="F77" s="5"/>
      <c r="G77" s="5">
        <f>1*G3</f>
        <v>0</v>
      </c>
      <c r="H77" s="5"/>
      <c r="I77" s="5">
        <f>1*I3</f>
        <v>0</v>
      </c>
      <c r="J77" s="5"/>
      <c r="K77" s="5"/>
      <c r="L77" s="5"/>
      <c r="M77" s="5"/>
      <c r="N77" s="5"/>
      <c r="O77" s="5">
        <f t="shared" si="6"/>
        <v>0</v>
      </c>
      <c r="P77" s="12">
        <f t="shared" si="7"/>
        <v>0</v>
      </c>
    </row>
    <row r="78" spans="1:40" ht="120" customHeight="1" x14ac:dyDescent="0.2">
      <c r="A78" s="14" t="s">
        <v>39</v>
      </c>
      <c r="B78" s="14" t="s">
        <v>84</v>
      </c>
      <c r="C78" s="10"/>
      <c r="D78" s="11">
        <v>0.68599999999999994</v>
      </c>
      <c r="E78" s="13"/>
      <c r="F78" s="5"/>
      <c r="G78" s="5">
        <f>1*G3</f>
        <v>0</v>
      </c>
      <c r="H78" s="5"/>
      <c r="I78" s="5">
        <f>1*I3</f>
        <v>0</v>
      </c>
      <c r="J78" s="5"/>
      <c r="K78" s="5"/>
      <c r="L78" s="5"/>
      <c r="M78" s="5"/>
      <c r="N78" s="5"/>
      <c r="O78" s="5">
        <f t="shared" si="6"/>
        <v>0</v>
      </c>
      <c r="P78" s="12">
        <f t="shared" si="7"/>
        <v>0</v>
      </c>
    </row>
    <row r="79" spans="1:40" ht="132" customHeight="1" x14ac:dyDescent="0.2">
      <c r="A79" s="14" t="s">
        <v>40</v>
      </c>
      <c r="B79" s="14" t="s">
        <v>85</v>
      </c>
      <c r="C79" s="10"/>
      <c r="D79" s="11">
        <v>0.98</v>
      </c>
      <c r="E79" s="13">
        <f>1*E3</f>
        <v>0</v>
      </c>
      <c r="F79" s="5"/>
      <c r="G79" s="5"/>
      <c r="H79" s="5"/>
      <c r="I79" s="5"/>
      <c r="J79" s="5">
        <f>1*J3</f>
        <v>0</v>
      </c>
      <c r="K79" s="5"/>
      <c r="L79" s="5"/>
      <c r="M79" s="5"/>
      <c r="N79" s="5"/>
      <c r="O79" s="5">
        <f t="shared" si="6"/>
        <v>0</v>
      </c>
      <c r="P79" s="12">
        <f t="shared" si="7"/>
        <v>0</v>
      </c>
    </row>
    <row r="80" spans="1:40" ht="110" customHeight="1" x14ac:dyDescent="0.2">
      <c r="A80" s="14" t="s">
        <v>41</v>
      </c>
      <c r="B80" s="15" t="s">
        <v>254</v>
      </c>
      <c r="C80" s="16"/>
      <c r="D80" s="11">
        <v>0.98</v>
      </c>
      <c r="E80" s="13">
        <f>1*E3</f>
        <v>0</v>
      </c>
      <c r="F80" s="5"/>
      <c r="G80" s="5"/>
      <c r="H80" s="5"/>
      <c r="I80" s="5"/>
      <c r="J80" s="5">
        <f>1*J3</f>
        <v>0</v>
      </c>
      <c r="K80" s="5"/>
      <c r="L80" s="5"/>
      <c r="M80" s="5"/>
      <c r="N80" s="5"/>
      <c r="O80" s="5">
        <f t="shared" si="6"/>
        <v>0</v>
      </c>
      <c r="P80" s="12">
        <f t="shared" si="7"/>
        <v>0</v>
      </c>
    </row>
    <row r="81" spans="1:40" s="6" customFormat="1" ht="230" customHeight="1" x14ac:dyDescent="0.2">
      <c r="A81" s="14" t="s">
        <v>136</v>
      </c>
      <c r="B81" s="14" t="s">
        <v>132</v>
      </c>
      <c r="C81" s="10"/>
      <c r="D81" s="11">
        <v>0.98</v>
      </c>
      <c r="E81" s="13"/>
      <c r="F81" s="5"/>
      <c r="G81" s="5"/>
      <c r="H81" s="5"/>
      <c r="I81" s="12"/>
      <c r="J81" s="1"/>
      <c r="K81" s="1"/>
      <c r="L81" s="1"/>
      <c r="M81" s="1"/>
      <c r="N81" s="1"/>
      <c r="O81" s="5">
        <f t="shared" si="6"/>
        <v>0</v>
      </c>
      <c r="P81" s="12">
        <f t="shared" si="7"/>
        <v>0</v>
      </c>
    </row>
    <row r="82" spans="1:40" s="6" customFormat="1" ht="236" customHeight="1" x14ac:dyDescent="0.2">
      <c r="A82" s="14" t="s">
        <v>137</v>
      </c>
      <c r="B82" s="14" t="s">
        <v>133</v>
      </c>
      <c r="C82" s="10"/>
      <c r="D82" s="11">
        <v>0.68599999999999994</v>
      </c>
      <c r="E82" s="13"/>
      <c r="F82" s="5"/>
      <c r="G82" s="5"/>
      <c r="H82" s="5"/>
      <c r="I82" s="12"/>
      <c r="J82" s="1"/>
      <c r="K82" s="1"/>
      <c r="L82" s="1"/>
      <c r="M82" s="1"/>
      <c r="N82" s="1"/>
      <c r="O82" s="5">
        <f t="shared" si="6"/>
        <v>0</v>
      </c>
      <c r="P82" s="12">
        <f t="shared" si="7"/>
        <v>0</v>
      </c>
    </row>
    <row r="83" spans="1:40" ht="128" x14ac:dyDescent="0.2">
      <c r="A83" s="10" t="s">
        <v>154</v>
      </c>
      <c r="B83" s="10" t="s">
        <v>155</v>
      </c>
      <c r="C83" s="10"/>
      <c r="D83" s="11">
        <v>19.137999999999998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f t="shared" ref="O83:O90" si="8">SUM(E83:J83)</f>
        <v>0</v>
      </c>
      <c r="P83" s="25">
        <f t="shared" si="7"/>
        <v>0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spans="1:40" ht="288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f t="shared" si="8"/>
        <v>0</v>
      </c>
      <c r="P84" s="25">
        <f t="shared" ref="P84:P90" si="9">D84*O84</f>
        <v>0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spans="1:40" ht="288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 t="shared" si="8"/>
        <v>0</v>
      </c>
      <c r="P85" s="25">
        <f t="shared" si="9"/>
        <v>0</v>
      </c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spans="1:40" ht="288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f t="shared" si="8"/>
        <v>0</v>
      </c>
      <c r="P86" s="25">
        <f t="shared" si="9"/>
        <v>0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spans="1:40" ht="160" x14ac:dyDescent="0.2">
      <c r="A87" s="14" t="s">
        <v>180</v>
      </c>
      <c r="B87" s="10" t="s">
        <v>181</v>
      </c>
      <c r="C87" s="10"/>
      <c r="D87" s="11">
        <v>0.75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5">
        <f t="shared" si="8"/>
        <v>0</v>
      </c>
      <c r="P87" s="25">
        <f t="shared" si="9"/>
        <v>0</v>
      </c>
    </row>
    <row r="88" spans="1:40" ht="160" x14ac:dyDescent="0.2">
      <c r="A88" s="14" t="s">
        <v>182</v>
      </c>
      <c r="B88" s="10" t="s">
        <v>183</v>
      </c>
      <c r="C88" s="10"/>
      <c r="D88" s="11">
        <v>0.75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5">
        <f t="shared" si="8"/>
        <v>0</v>
      </c>
      <c r="P88" s="25">
        <f t="shared" si="9"/>
        <v>0</v>
      </c>
    </row>
    <row r="89" spans="1:40" ht="160" x14ac:dyDescent="0.2">
      <c r="A89" s="14" t="s">
        <v>184</v>
      </c>
      <c r="B89" s="10" t="s">
        <v>185</v>
      </c>
      <c r="C89" s="10"/>
      <c r="D89" s="11">
        <v>0.75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5">
        <f t="shared" si="8"/>
        <v>0</v>
      </c>
      <c r="P89" s="25">
        <f t="shared" si="9"/>
        <v>0</v>
      </c>
    </row>
    <row r="90" spans="1:40" ht="160" x14ac:dyDescent="0.2">
      <c r="A90" s="14" t="s">
        <v>186</v>
      </c>
      <c r="B90" s="14" t="s">
        <v>256</v>
      </c>
      <c r="C90" s="10"/>
      <c r="D90" s="11">
        <v>0.75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5">
        <f t="shared" si="8"/>
        <v>0</v>
      </c>
      <c r="P90" s="25">
        <f t="shared" si="9"/>
        <v>0</v>
      </c>
    </row>
    <row r="91" spans="1:40" ht="47" x14ac:dyDescent="0.2"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8"/>
      <c r="P91" s="23"/>
    </row>
    <row r="92" spans="1:40" ht="47" x14ac:dyDescent="0.2">
      <c r="O92" s="8" t="s">
        <v>114</v>
      </c>
      <c r="P92" s="22">
        <f>SUM(P4:P82)</f>
        <v>0</v>
      </c>
    </row>
    <row r="93" spans="1:40" s="8" customFormat="1" ht="47" x14ac:dyDescent="0.2">
      <c r="P93" s="23"/>
    </row>
    <row r="94" spans="1:40" ht="47" x14ac:dyDescent="0.2">
      <c r="P9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1161-E4B1-0545-90A5-A3BB8E2A79A0}">
  <sheetPr>
    <tabColor theme="5"/>
  </sheetPr>
  <dimension ref="A1:AN93"/>
  <sheetViews>
    <sheetView topLeftCell="C1" zoomScale="75" zoomScaleNormal="75" workbookViewId="0">
      <selection activeCell="E4" sqref="E4"/>
    </sheetView>
  </sheetViews>
  <sheetFormatPr baseColWidth="10" defaultRowHeight="31" x14ac:dyDescent="0.35"/>
  <cols>
    <col min="1" max="1" width="53.33203125" style="1" customWidth="1"/>
    <col min="2" max="2" width="59.6640625" style="1" customWidth="1"/>
    <col min="3" max="3" width="58.6640625" style="1" customWidth="1"/>
    <col min="4" max="4" width="65.6640625" style="1" customWidth="1"/>
    <col min="5" max="5" width="50.83203125" style="1" customWidth="1"/>
    <col min="6" max="6" width="44.1640625" style="1" customWidth="1"/>
    <col min="7" max="7" width="34" style="1" customWidth="1"/>
    <col min="8" max="8" width="35.5" style="1" customWidth="1"/>
    <col min="9" max="9" width="39.1640625" style="1" customWidth="1"/>
    <col min="10" max="10" width="32.1640625" style="1" customWidth="1"/>
    <col min="11" max="11" width="6" style="1" customWidth="1"/>
    <col min="12" max="12" width="4.6640625" style="1" customWidth="1"/>
    <col min="13" max="13" width="6.1640625" style="1" customWidth="1"/>
    <col min="14" max="14" width="5.83203125" style="1" customWidth="1"/>
    <col min="15" max="15" width="26.6640625" style="1" customWidth="1"/>
    <col min="16" max="16" width="32.33203125" style="1" customWidth="1"/>
    <col min="17" max="16384" width="10.83203125" style="1"/>
  </cols>
  <sheetData>
    <row r="1" spans="1:16" ht="321" customHeight="1" x14ac:dyDescent="0.35">
      <c r="A1" s="2" t="s">
        <v>88</v>
      </c>
      <c r="B1" s="2" t="s">
        <v>89</v>
      </c>
      <c r="C1" s="3" t="s">
        <v>86</v>
      </c>
      <c r="D1" s="3" t="s">
        <v>87</v>
      </c>
      <c r="E1" s="4" t="s">
        <v>288</v>
      </c>
      <c r="F1" s="4" t="s">
        <v>289</v>
      </c>
      <c r="G1" s="4" t="s">
        <v>290</v>
      </c>
      <c r="H1" s="4" t="s">
        <v>291</v>
      </c>
      <c r="I1" s="4" t="s">
        <v>292</v>
      </c>
      <c r="J1" s="4" t="s">
        <v>293</v>
      </c>
      <c r="K1" s="4"/>
      <c r="L1" s="4"/>
      <c r="M1" s="4"/>
      <c r="N1" s="4"/>
      <c r="O1" s="5"/>
    </row>
    <row r="2" spans="1:16" ht="66" customHeight="1" x14ac:dyDescent="0.35">
      <c r="A2" s="2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6" s="24" customFormat="1" ht="63" customHeight="1" x14ac:dyDescent="0.2">
      <c r="A3" s="2"/>
      <c r="B3" s="2"/>
      <c r="C3" s="3"/>
      <c r="D3" s="3" t="s">
        <v>126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/>
      <c r="L3" s="7"/>
      <c r="M3" s="7"/>
      <c r="N3" s="7"/>
      <c r="O3" s="7" t="s">
        <v>114</v>
      </c>
      <c r="P3" s="24" t="s">
        <v>118</v>
      </c>
    </row>
    <row r="4" spans="1:16" ht="64" x14ac:dyDescent="0.35">
      <c r="A4" s="9" t="s">
        <v>108</v>
      </c>
      <c r="B4" s="9" t="s">
        <v>42</v>
      </c>
      <c r="C4" s="10"/>
      <c r="D4" s="11">
        <v>3.2071200000000002</v>
      </c>
      <c r="E4" s="5"/>
      <c r="F4" s="5"/>
      <c r="G4" s="5"/>
      <c r="H4" s="5"/>
      <c r="I4" s="5">
        <f>4*I3</f>
        <v>0</v>
      </c>
      <c r="J4" s="5">
        <f>4*J3</f>
        <v>0</v>
      </c>
      <c r="K4" s="5"/>
      <c r="L4" s="5"/>
      <c r="M4" s="5"/>
      <c r="N4" s="5"/>
      <c r="O4" s="5">
        <f t="shared" ref="O4:O12" si="0">SUM(E4:J4)</f>
        <v>0</v>
      </c>
      <c r="P4" s="12">
        <f t="shared" ref="P4:P18" si="1">D4*O4</f>
        <v>0</v>
      </c>
    </row>
    <row r="5" spans="1:16" ht="64" x14ac:dyDescent="0.35">
      <c r="A5" s="9" t="s">
        <v>109</v>
      </c>
      <c r="B5" s="9" t="s">
        <v>43</v>
      </c>
      <c r="C5" s="10"/>
      <c r="D5" s="11">
        <v>4.1087199999999999</v>
      </c>
      <c r="E5" s="5"/>
      <c r="F5" s="5"/>
      <c r="G5" s="5"/>
      <c r="H5" s="5"/>
      <c r="I5" s="5">
        <f>1*I3</f>
        <v>0</v>
      </c>
      <c r="J5" s="5">
        <f>1*J3</f>
        <v>0</v>
      </c>
      <c r="K5" s="5"/>
      <c r="L5" s="5"/>
      <c r="M5" s="5"/>
      <c r="N5" s="5"/>
      <c r="O5" s="5">
        <f t="shared" si="0"/>
        <v>0</v>
      </c>
      <c r="P5" s="12">
        <f t="shared" si="1"/>
        <v>0</v>
      </c>
    </row>
    <row r="6" spans="1:16" ht="64" x14ac:dyDescent="0.35">
      <c r="A6" s="9" t="s">
        <v>110</v>
      </c>
      <c r="B6" s="9" t="s">
        <v>44</v>
      </c>
      <c r="C6" s="10"/>
      <c r="D6" s="11">
        <v>3.47</v>
      </c>
      <c r="E6" s="13">
        <f>4*E3</f>
        <v>0</v>
      </c>
      <c r="F6" s="13">
        <f>4*F3</f>
        <v>0</v>
      </c>
      <c r="G6" s="13">
        <f t="shared" ref="G6:H6" si="2">4*G3</f>
        <v>0</v>
      </c>
      <c r="H6" s="13">
        <f t="shared" si="2"/>
        <v>0</v>
      </c>
      <c r="I6" s="5"/>
      <c r="J6" s="5"/>
      <c r="K6" s="5"/>
      <c r="L6" s="5"/>
      <c r="M6" s="5"/>
      <c r="N6" s="5"/>
      <c r="O6" s="5">
        <f t="shared" si="0"/>
        <v>0</v>
      </c>
      <c r="P6" s="12">
        <f t="shared" si="1"/>
        <v>0</v>
      </c>
    </row>
    <row r="7" spans="1:16" ht="64" x14ac:dyDescent="0.35">
      <c r="A7" s="9" t="s">
        <v>111</v>
      </c>
      <c r="B7" s="9" t="s">
        <v>45</v>
      </c>
      <c r="C7" s="10"/>
      <c r="D7" s="11">
        <v>4.2699999999999996</v>
      </c>
      <c r="E7" s="13">
        <f>1*E3</f>
        <v>0</v>
      </c>
      <c r="F7" s="13">
        <f>1*F3</f>
        <v>0</v>
      </c>
      <c r="G7" s="13">
        <f t="shared" ref="G7:H7" si="3">1*G3</f>
        <v>0</v>
      </c>
      <c r="H7" s="13">
        <f t="shared" si="3"/>
        <v>0</v>
      </c>
      <c r="I7" s="5"/>
      <c r="J7" s="5"/>
      <c r="K7" s="5"/>
      <c r="L7" s="5"/>
      <c r="M7" s="5"/>
      <c r="N7" s="5"/>
      <c r="O7" s="5">
        <f t="shared" si="0"/>
        <v>0</v>
      </c>
      <c r="P7" s="12">
        <f t="shared" si="1"/>
        <v>0</v>
      </c>
    </row>
    <row r="8" spans="1:16" ht="166" customHeight="1" x14ac:dyDescent="0.35">
      <c r="A8" s="9" t="s">
        <v>112</v>
      </c>
      <c r="B8" s="9" t="s">
        <v>46</v>
      </c>
      <c r="C8" s="10"/>
      <c r="D8" s="11">
        <v>6.23</v>
      </c>
      <c r="E8" s="13"/>
      <c r="F8" s="5"/>
      <c r="G8" s="5"/>
      <c r="H8" s="5"/>
      <c r="I8" s="5"/>
      <c r="J8" s="5"/>
      <c r="K8" s="5"/>
      <c r="L8" s="5"/>
      <c r="M8" s="5"/>
      <c r="N8" s="5"/>
      <c r="O8" s="5">
        <f t="shared" si="0"/>
        <v>0</v>
      </c>
      <c r="P8" s="12">
        <f t="shared" si="1"/>
        <v>0</v>
      </c>
    </row>
    <row r="9" spans="1:16" ht="114" customHeight="1" x14ac:dyDescent="0.35">
      <c r="A9" s="9" t="s">
        <v>113</v>
      </c>
      <c r="B9" s="9" t="s">
        <v>47</v>
      </c>
      <c r="C9" s="10"/>
      <c r="D9" s="11">
        <v>7.6579999999999995</v>
      </c>
      <c r="E9" s="13"/>
      <c r="F9" s="5"/>
      <c r="G9" s="5"/>
      <c r="H9" s="5"/>
      <c r="I9" s="5"/>
      <c r="J9" s="5"/>
      <c r="K9" s="5"/>
      <c r="L9" s="5"/>
      <c r="M9" s="5"/>
      <c r="N9" s="5"/>
      <c r="O9" s="5">
        <f t="shared" si="0"/>
        <v>0</v>
      </c>
      <c r="P9" s="12">
        <f t="shared" si="1"/>
        <v>0</v>
      </c>
    </row>
    <row r="10" spans="1:16" ht="137" customHeight="1" x14ac:dyDescent="0.35">
      <c r="A10" s="9" t="s">
        <v>2</v>
      </c>
      <c r="B10" s="9" t="s">
        <v>48</v>
      </c>
      <c r="C10" s="10" t="s">
        <v>90</v>
      </c>
      <c r="D10" s="11">
        <v>2.4472</v>
      </c>
      <c r="E10" s="13"/>
      <c r="F10" s="5"/>
      <c r="G10" s="5"/>
      <c r="H10" s="5"/>
      <c r="I10" s="5">
        <f>9*I3</f>
        <v>0</v>
      </c>
      <c r="J10" s="5"/>
      <c r="K10" s="5"/>
      <c r="L10" s="5"/>
      <c r="M10" s="5"/>
      <c r="N10" s="5"/>
      <c r="O10" s="5">
        <f t="shared" si="0"/>
        <v>0</v>
      </c>
      <c r="P10" s="12">
        <f t="shared" si="1"/>
        <v>0</v>
      </c>
    </row>
    <row r="11" spans="1:16" ht="171" customHeight="1" x14ac:dyDescent="0.2">
      <c r="A11" s="9" t="s">
        <v>3</v>
      </c>
      <c r="B11" s="9" t="s">
        <v>49</v>
      </c>
      <c r="C11" s="10" t="s">
        <v>90</v>
      </c>
      <c r="D11" s="11">
        <v>3.3874399999999998</v>
      </c>
      <c r="E11" s="13"/>
      <c r="F11" s="5"/>
      <c r="G11" s="5">
        <f>9*G3</f>
        <v>0</v>
      </c>
      <c r="H11" s="5">
        <f>9*H3</f>
        <v>0</v>
      </c>
      <c r="I11" s="5"/>
      <c r="J11" s="5"/>
      <c r="K11" s="5"/>
      <c r="L11" s="5"/>
      <c r="M11" s="5"/>
      <c r="N11" s="5"/>
      <c r="O11" s="5">
        <f t="shared" si="0"/>
        <v>0</v>
      </c>
      <c r="P11" s="12">
        <f t="shared" si="1"/>
        <v>0</v>
      </c>
    </row>
    <row r="12" spans="1:16" ht="149" customHeight="1" x14ac:dyDescent="0.2">
      <c r="A12" s="9" t="s">
        <v>3</v>
      </c>
      <c r="B12" s="9" t="s">
        <v>50</v>
      </c>
      <c r="C12" s="10" t="s">
        <v>91</v>
      </c>
      <c r="D12" s="11">
        <v>3.3874399999999998</v>
      </c>
      <c r="E12" s="13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12">
        <f t="shared" si="1"/>
        <v>0</v>
      </c>
    </row>
    <row r="13" spans="1:16" ht="145" customHeight="1" x14ac:dyDescent="0.2">
      <c r="A13" s="9" t="s">
        <v>4</v>
      </c>
      <c r="B13" s="9" t="s">
        <v>51</v>
      </c>
      <c r="C13" s="10" t="s">
        <v>91</v>
      </c>
      <c r="D13" s="11">
        <v>4.0571999999999999</v>
      </c>
      <c r="E13" s="13"/>
      <c r="F13" s="5"/>
      <c r="G13" s="5"/>
      <c r="H13" s="5"/>
      <c r="I13" s="5"/>
      <c r="J13" s="5"/>
      <c r="K13" s="5"/>
      <c r="L13" s="5"/>
      <c r="M13" s="5"/>
      <c r="N13" s="5"/>
      <c r="O13" s="5">
        <f t="shared" ref="O13:O16" si="4">SUM(E13:J13)</f>
        <v>0</v>
      </c>
      <c r="P13" s="12">
        <f t="shared" si="1"/>
        <v>0</v>
      </c>
    </row>
    <row r="14" spans="1:16" ht="145" customHeight="1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E14" s="13"/>
      <c r="F14" s="5"/>
      <c r="G14" s="5"/>
      <c r="H14" s="5"/>
      <c r="I14" s="5"/>
      <c r="J14" s="5"/>
      <c r="K14" s="5"/>
      <c r="L14" s="5"/>
      <c r="M14" s="5"/>
      <c r="N14" s="5"/>
      <c r="O14" s="5">
        <f t="shared" si="4"/>
        <v>0</v>
      </c>
      <c r="P14" s="12">
        <f t="shared" si="1"/>
        <v>0</v>
      </c>
    </row>
    <row r="15" spans="1:16" ht="145" customHeight="1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E15" s="13"/>
      <c r="F15" s="5"/>
      <c r="G15" s="5"/>
      <c r="H15" s="5"/>
      <c r="I15" s="5"/>
      <c r="J15" s="5"/>
      <c r="K15" s="5"/>
      <c r="L15" s="5"/>
      <c r="M15" s="5"/>
      <c r="N15" s="5"/>
      <c r="O15" s="5">
        <f t="shared" si="4"/>
        <v>0</v>
      </c>
      <c r="P15" s="12">
        <f t="shared" si="1"/>
        <v>0</v>
      </c>
    </row>
    <row r="16" spans="1:16" ht="145" customHeight="1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E16" s="13"/>
      <c r="F16" s="5"/>
      <c r="G16" s="5"/>
      <c r="H16" s="5"/>
      <c r="I16" s="5"/>
      <c r="J16" s="5"/>
      <c r="K16" s="5"/>
      <c r="L16" s="5"/>
      <c r="M16" s="5"/>
      <c r="N16" s="5"/>
      <c r="O16" s="5">
        <f t="shared" si="4"/>
        <v>0</v>
      </c>
      <c r="P16" s="12">
        <f t="shared" si="1"/>
        <v>0</v>
      </c>
    </row>
    <row r="17" spans="1:40" ht="145" customHeight="1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E17" s="13"/>
      <c r="F17" s="5"/>
      <c r="G17" s="5"/>
      <c r="H17" s="5"/>
      <c r="I17" s="5"/>
      <c r="J17" s="5"/>
      <c r="K17" s="5"/>
      <c r="L17" s="5"/>
      <c r="M17" s="5"/>
      <c r="N17" s="5"/>
      <c r="O17" s="5">
        <f t="shared" ref="O17" si="5">SUM(E17:J17)</f>
        <v>0</v>
      </c>
      <c r="P17" s="12">
        <f t="shared" si="1"/>
        <v>0</v>
      </c>
    </row>
    <row r="18" spans="1:40" ht="195" customHeight="1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13"/>
      <c r="F18" s="13"/>
      <c r="G18" s="5"/>
      <c r="H18" s="5"/>
      <c r="I18" s="5"/>
      <c r="J18" s="5">
        <f>9*J3</f>
        <v>0</v>
      </c>
      <c r="K18" s="5"/>
      <c r="L18" s="5"/>
      <c r="M18" s="5"/>
      <c r="N18" s="5"/>
      <c r="O18" s="5">
        <f>SUM(E18:J18)</f>
        <v>0</v>
      </c>
      <c r="P18" s="12">
        <f t="shared" si="1"/>
        <v>0</v>
      </c>
    </row>
    <row r="19" spans="1:40" ht="195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13"/>
      <c r="F19" s="13"/>
      <c r="G19" s="5"/>
      <c r="H19" s="5"/>
      <c r="I19" s="5"/>
      <c r="J19" s="5"/>
      <c r="K19" s="5"/>
      <c r="L19" s="5"/>
      <c r="M19" s="5"/>
      <c r="N19" s="5"/>
      <c r="O19" s="5"/>
      <c r="P19" s="12"/>
    </row>
    <row r="20" spans="1:40" ht="207" customHeight="1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3">
        <f>9*E3</f>
        <v>0</v>
      </c>
      <c r="F20" s="13">
        <f>9*F3</f>
        <v>0</v>
      </c>
      <c r="G20" s="5"/>
      <c r="H20" s="5"/>
      <c r="I20" s="5"/>
      <c r="J20" s="5"/>
      <c r="K20" s="5"/>
      <c r="L20" s="5"/>
      <c r="M20" s="5"/>
      <c r="N20" s="5"/>
      <c r="O20" s="5">
        <f t="shared" ref="O20:O27" si="6">SUM(E20:J20)</f>
        <v>0</v>
      </c>
      <c r="P20" s="12">
        <f t="shared" ref="P20:P51" si="7">D20*O20</f>
        <v>0</v>
      </c>
    </row>
    <row r="21" spans="1:40" ht="205" customHeight="1" x14ac:dyDescent="0.2">
      <c r="A21" s="9" t="s">
        <v>200</v>
      </c>
      <c r="B21" s="9" t="s">
        <v>53</v>
      </c>
      <c r="C21" s="10" t="s">
        <v>90</v>
      </c>
      <c r="D21" s="11">
        <v>5.3</v>
      </c>
      <c r="E21" s="13"/>
      <c r="F21" s="5"/>
      <c r="G21" s="5"/>
      <c r="H21" s="5"/>
      <c r="I21" s="5"/>
      <c r="J21" s="5"/>
      <c r="K21" s="5"/>
      <c r="L21" s="5"/>
      <c r="M21" s="5"/>
      <c r="N21" s="5"/>
      <c r="O21" s="5">
        <f t="shared" si="6"/>
        <v>0</v>
      </c>
      <c r="P21" s="12">
        <f t="shared" si="7"/>
        <v>0</v>
      </c>
    </row>
    <row r="22" spans="1:40" ht="141" customHeight="1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13"/>
      <c r="F22" s="5"/>
      <c r="G22" s="5"/>
      <c r="H22" s="5"/>
      <c r="I22" s="5"/>
      <c r="J22" s="5"/>
      <c r="K22" s="5"/>
      <c r="L22" s="5"/>
      <c r="M22" s="5"/>
      <c r="N22" s="5"/>
      <c r="O22" s="5">
        <f t="shared" si="6"/>
        <v>0</v>
      </c>
      <c r="P22" s="12">
        <f t="shared" si="7"/>
        <v>0</v>
      </c>
    </row>
    <row r="23" spans="1:40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6"/>
        <v>0</v>
      </c>
      <c r="P23" s="12">
        <f t="shared" si="7"/>
        <v>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ht="64" x14ac:dyDescent="0.2">
      <c r="A24" s="9" t="s">
        <v>162</v>
      </c>
      <c r="B24" s="9" t="s">
        <v>163</v>
      </c>
      <c r="C24" s="10"/>
      <c r="D24" s="11">
        <v>0.24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6"/>
        <v>0</v>
      </c>
      <c r="P24" s="12">
        <f t="shared" si="7"/>
        <v>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ht="64" x14ac:dyDescent="0.2">
      <c r="A25" s="9" t="s">
        <v>164</v>
      </c>
      <c r="B25" s="9" t="s">
        <v>165</v>
      </c>
      <c r="C25" s="10"/>
      <c r="D25" s="11">
        <v>0.17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6"/>
        <v>0</v>
      </c>
      <c r="P25" s="12">
        <f t="shared" si="7"/>
        <v>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ht="96" x14ac:dyDescent="0.2">
      <c r="A26" s="14" t="s">
        <v>166</v>
      </c>
      <c r="B26" s="14" t="s">
        <v>167</v>
      </c>
      <c r="C26" s="10"/>
      <c r="D26" s="11">
        <v>7.2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6"/>
        <v>0</v>
      </c>
      <c r="P26" s="12">
        <f t="shared" si="7"/>
        <v>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ht="96" x14ac:dyDescent="0.2">
      <c r="A27" s="78" t="s">
        <v>316</v>
      </c>
      <c r="B27" s="14" t="s">
        <v>169</v>
      </c>
      <c r="C27" s="10"/>
      <c r="D27" s="11">
        <v>7.2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6"/>
        <v>0</v>
      </c>
      <c r="P27" s="12">
        <f t="shared" si="7"/>
        <v>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ht="96" x14ac:dyDescent="0.2">
      <c r="A28" s="78" t="s">
        <v>314</v>
      </c>
      <c r="B28" s="14" t="s">
        <v>315</v>
      </c>
      <c r="C28" s="10"/>
      <c r="D28" s="11">
        <v>7.2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ref="O28" si="8">SUM(E28:J28)</f>
        <v>0</v>
      </c>
      <c r="P28" s="12">
        <f t="shared" si="7"/>
        <v>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ht="128" x14ac:dyDescent="0.2">
      <c r="A29" s="14" t="s">
        <v>170</v>
      </c>
      <c r="B29" s="14" t="s">
        <v>171</v>
      </c>
      <c r="C29" s="10"/>
      <c r="D29" s="11">
        <v>7.2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>SUM(E29:J29)</f>
        <v>0</v>
      </c>
      <c r="P29" s="12">
        <f t="shared" si="7"/>
        <v>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128" x14ac:dyDescent="0.2">
      <c r="A30" s="78" t="s">
        <v>312</v>
      </c>
      <c r="B30" s="14" t="s">
        <v>173</v>
      </c>
      <c r="C30" s="10"/>
      <c r="D30" s="11">
        <v>7.2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ref="O30" si="9">SUM(E30:J30)</f>
        <v>0</v>
      </c>
      <c r="P30" s="12">
        <f t="shared" si="7"/>
        <v>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ht="128" x14ac:dyDescent="0.2">
      <c r="A31" s="14" t="s">
        <v>172</v>
      </c>
      <c r="B31" s="14" t="s">
        <v>173</v>
      </c>
      <c r="C31" s="10"/>
      <c r="D31" s="11">
        <v>7.2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ref="O31:O75" si="10">SUM(E31:J31)</f>
        <v>0</v>
      </c>
      <c r="P31" s="12">
        <f t="shared" si="7"/>
        <v>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ht="151" customHeight="1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13"/>
      <c r="F32" s="5"/>
      <c r="G32" s="5"/>
      <c r="H32" s="5"/>
      <c r="I32" s="5"/>
      <c r="J32" s="5"/>
      <c r="K32" s="5"/>
      <c r="L32" s="5"/>
      <c r="M32" s="5"/>
      <c r="N32" s="5"/>
      <c r="O32" s="5">
        <f t="shared" si="10"/>
        <v>0</v>
      </c>
      <c r="P32" s="12">
        <f t="shared" si="7"/>
        <v>0</v>
      </c>
    </row>
    <row r="33" spans="1:16" ht="161" customHeight="1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13"/>
      <c r="F33" s="13"/>
      <c r="G33" s="5"/>
      <c r="H33" s="5"/>
      <c r="I33" s="5"/>
      <c r="J33" s="5"/>
      <c r="K33" s="5"/>
      <c r="L33" s="5"/>
      <c r="M33" s="5"/>
      <c r="N33" s="5"/>
      <c r="O33" s="5">
        <f t="shared" si="10"/>
        <v>0</v>
      </c>
      <c r="P33" s="12">
        <f t="shared" si="7"/>
        <v>0</v>
      </c>
    </row>
    <row r="34" spans="1:16" ht="139" customHeight="1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13"/>
      <c r="F34" s="13"/>
      <c r="G34" s="5"/>
      <c r="H34" s="5"/>
      <c r="I34" s="5"/>
      <c r="J34" s="5"/>
      <c r="K34" s="5"/>
      <c r="L34" s="5"/>
      <c r="M34" s="5"/>
      <c r="N34" s="5"/>
      <c r="O34" s="5">
        <f t="shared" si="10"/>
        <v>0</v>
      </c>
      <c r="P34" s="12">
        <f t="shared" si="7"/>
        <v>0</v>
      </c>
    </row>
    <row r="35" spans="1:16" ht="143" customHeight="1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13"/>
      <c r="F35" s="13"/>
      <c r="G35" s="5"/>
      <c r="H35" s="5"/>
      <c r="I35" s="5"/>
      <c r="J35" s="5"/>
      <c r="K35" s="5"/>
      <c r="L35" s="5"/>
      <c r="M35" s="5"/>
      <c r="N35" s="5"/>
      <c r="O35" s="5">
        <f t="shared" si="10"/>
        <v>0</v>
      </c>
      <c r="P35" s="12">
        <f t="shared" si="7"/>
        <v>0</v>
      </c>
    </row>
    <row r="36" spans="1:16" ht="195" customHeight="1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13"/>
      <c r="F36" s="13"/>
      <c r="G36" s="5"/>
      <c r="H36" s="5"/>
      <c r="I36" s="5"/>
      <c r="J36" s="5"/>
      <c r="K36" s="5"/>
      <c r="L36" s="5"/>
      <c r="M36" s="5"/>
      <c r="N36" s="5"/>
      <c r="O36" s="5">
        <f t="shared" si="10"/>
        <v>0</v>
      </c>
      <c r="P36" s="12">
        <f t="shared" si="7"/>
        <v>0</v>
      </c>
    </row>
    <row r="37" spans="1:16" ht="160" customHeight="1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E37" s="13"/>
      <c r="F37" s="5"/>
      <c r="G37" s="5"/>
      <c r="H37" s="5"/>
      <c r="I37" s="5"/>
      <c r="J37" s="5"/>
      <c r="K37" s="5"/>
      <c r="L37" s="5"/>
      <c r="M37" s="5"/>
      <c r="N37" s="5"/>
      <c r="O37" s="5">
        <f t="shared" si="10"/>
        <v>0</v>
      </c>
      <c r="P37" s="12">
        <f t="shared" si="7"/>
        <v>0</v>
      </c>
    </row>
    <row r="38" spans="1:16" ht="160" customHeight="1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13"/>
      <c r="F38" s="5"/>
      <c r="G38" s="5"/>
      <c r="H38" s="5"/>
      <c r="I38" s="5"/>
      <c r="J38" s="5"/>
      <c r="K38" s="5"/>
      <c r="L38" s="5"/>
      <c r="M38" s="5"/>
      <c r="N38" s="5"/>
      <c r="O38" s="5">
        <f t="shared" si="10"/>
        <v>0</v>
      </c>
      <c r="P38" s="12">
        <f t="shared" si="7"/>
        <v>0</v>
      </c>
    </row>
    <row r="39" spans="1:16" ht="188" customHeight="1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13"/>
      <c r="F39" s="5"/>
      <c r="G39" s="5"/>
      <c r="H39" s="5"/>
      <c r="I39" s="5"/>
      <c r="J39" s="5"/>
      <c r="K39" s="5"/>
      <c r="L39" s="5"/>
      <c r="M39" s="5"/>
      <c r="N39" s="5"/>
      <c r="O39" s="5">
        <f t="shared" si="10"/>
        <v>0</v>
      </c>
      <c r="P39" s="12">
        <f t="shared" si="7"/>
        <v>0</v>
      </c>
    </row>
    <row r="40" spans="1:16" ht="170" customHeight="1" x14ac:dyDescent="0.2">
      <c r="A40" s="9" t="s">
        <v>117</v>
      </c>
      <c r="B40" s="9" t="s">
        <v>98</v>
      </c>
      <c r="C40" s="10" t="s">
        <v>9</v>
      </c>
      <c r="D40" s="11">
        <v>7.22</v>
      </c>
      <c r="E40" s="13"/>
      <c r="F40" s="5"/>
      <c r="G40" s="5"/>
      <c r="H40" s="5"/>
      <c r="I40" s="5"/>
      <c r="J40" s="5"/>
      <c r="K40" s="5"/>
      <c r="L40" s="5"/>
      <c r="M40" s="5"/>
      <c r="N40" s="5"/>
      <c r="O40" s="5">
        <f t="shared" si="10"/>
        <v>0</v>
      </c>
      <c r="P40" s="12">
        <f t="shared" si="7"/>
        <v>0</v>
      </c>
    </row>
    <row r="41" spans="1:16" ht="170" customHeight="1" x14ac:dyDescent="0.2">
      <c r="A41" s="9" t="s">
        <v>11</v>
      </c>
      <c r="B41" s="9" t="s">
        <v>57</v>
      </c>
      <c r="C41" s="10" t="s">
        <v>9</v>
      </c>
      <c r="D41" s="11">
        <v>5.16</v>
      </c>
      <c r="E41" s="13"/>
      <c r="F41" s="5"/>
      <c r="G41" s="5"/>
      <c r="H41" s="5"/>
      <c r="I41" s="5"/>
      <c r="J41" s="5"/>
      <c r="K41" s="5"/>
      <c r="L41" s="5"/>
      <c r="M41" s="5"/>
      <c r="N41" s="5"/>
      <c r="O41" s="5">
        <f t="shared" si="10"/>
        <v>0</v>
      </c>
      <c r="P41" s="12">
        <f t="shared" si="7"/>
        <v>0</v>
      </c>
    </row>
    <row r="42" spans="1:16" ht="136" customHeight="1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13"/>
      <c r="F42" s="13"/>
      <c r="G42" s="5"/>
      <c r="H42" s="5"/>
      <c r="I42" s="5"/>
      <c r="J42" s="5"/>
      <c r="K42" s="5"/>
      <c r="L42" s="5"/>
      <c r="M42" s="5"/>
      <c r="N42" s="5"/>
      <c r="O42" s="5">
        <f t="shared" si="10"/>
        <v>0</v>
      </c>
      <c r="P42" s="12">
        <f t="shared" si="7"/>
        <v>0</v>
      </c>
    </row>
    <row r="43" spans="1:16" ht="142" customHeight="1" x14ac:dyDescent="0.2">
      <c r="A43" s="9" t="s">
        <v>115</v>
      </c>
      <c r="B43" s="9" t="s">
        <v>58</v>
      </c>
      <c r="C43" s="10" t="s">
        <v>9</v>
      </c>
      <c r="D43" s="11">
        <v>7.22</v>
      </c>
      <c r="E43" s="13"/>
      <c r="F43" s="13"/>
      <c r="G43" s="5"/>
      <c r="H43" s="5"/>
      <c r="I43" s="5"/>
      <c r="J43" s="5"/>
      <c r="K43" s="5"/>
      <c r="L43" s="5"/>
      <c r="M43" s="5"/>
      <c r="N43" s="5"/>
      <c r="O43" s="5">
        <f t="shared" si="10"/>
        <v>0</v>
      </c>
      <c r="P43" s="12">
        <f t="shared" si="7"/>
        <v>0</v>
      </c>
    </row>
    <row r="44" spans="1:16" ht="136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13"/>
      <c r="F44" s="5"/>
      <c r="G44" s="5">
        <f>16*G3</f>
        <v>0</v>
      </c>
      <c r="H44" s="5">
        <f>16*H3</f>
        <v>0</v>
      </c>
      <c r="I44" s="5">
        <f>16*I3</f>
        <v>0</v>
      </c>
      <c r="J44" s="5"/>
      <c r="K44" s="5"/>
      <c r="L44" s="5"/>
      <c r="M44" s="5"/>
      <c r="N44" s="5"/>
      <c r="O44" s="5">
        <f t="shared" si="10"/>
        <v>0</v>
      </c>
      <c r="P44" s="12">
        <f t="shared" si="7"/>
        <v>0</v>
      </c>
    </row>
    <row r="45" spans="1:16" ht="180" customHeight="1" x14ac:dyDescent="0.2">
      <c r="A45" s="9" t="s">
        <v>13</v>
      </c>
      <c r="B45" s="9" t="s">
        <v>60</v>
      </c>
      <c r="C45" s="10"/>
      <c r="D45" s="11">
        <v>0.73</v>
      </c>
      <c r="E45" s="13">
        <f>16*E3</f>
        <v>0</v>
      </c>
      <c r="F45" s="13">
        <f>16*F3</f>
        <v>0</v>
      </c>
      <c r="G45" s="5"/>
      <c r="H45" s="5"/>
      <c r="I45" s="5"/>
      <c r="J45" s="5">
        <f>16*J3</f>
        <v>0</v>
      </c>
      <c r="K45" s="5"/>
      <c r="L45" s="5"/>
      <c r="M45" s="5"/>
      <c r="N45" s="5"/>
      <c r="O45" s="5">
        <f t="shared" si="10"/>
        <v>0</v>
      </c>
      <c r="P45" s="12">
        <f t="shared" si="7"/>
        <v>0</v>
      </c>
    </row>
    <row r="46" spans="1:16" ht="180" customHeight="1" x14ac:dyDescent="0.2">
      <c r="A46" s="9" t="s">
        <v>135</v>
      </c>
      <c r="B46" s="9" t="s">
        <v>134</v>
      </c>
      <c r="C46" s="10"/>
      <c r="D46" s="11">
        <v>0.73</v>
      </c>
      <c r="E46" s="13"/>
      <c r="F46" s="13"/>
      <c r="G46" s="5"/>
      <c r="H46" s="5"/>
      <c r="I46" s="5"/>
      <c r="J46" s="5"/>
      <c r="K46" s="5"/>
      <c r="L46" s="5"/>
      <c r="M46" s="5"/>
      <c r="N46" s="5"/>
      <c r="O46" s="5">
        <f t="shared" si="10"/>
        <v>0</v>
      </c>
      <c r="P46" s="12">
        <f t="shared" si="7"/>
        <v>0</v>
      </c>
    </row>
    <row r="47" spans="1:16" ht="198" customHeight="1" x14ac:dyDescent="0.2">
      <c r="A47" s="14" t="s">
        <v>14</v>
      </c>
      <c r="B47" s="14" t="s">
        <v>61</v>
      </c>
      <c r="C47" s="10"/>
      <c r="D47" s="11">
        <v>1.8620000000000001</v>
      </c>
      <c r="E47" s="13"/>
      <c r="F47" s="5"/>
      <c r="G47" s="5"/>
      <c r="H47" s="5"/>
      <c r="I47" s="5"/>
      <c r="J47" s="5"/>
      <c r="K47" s="5"/>
      <c r="L47" s="5"/>
      <c r="M47" s="5"/>
      <c r="N47" s="5"/>
      <c r="O47" s="5">
        <f t="shared" si="10"/>
        <v>0</v>
      </c>
      <c r="P47" s="12">
        <f t="shared" si="7"/>
        <v>0</v>
      </c>
    </row>
    <row r="48" spans="1:16" ht="128" customHeight="1" x14ac:dyDescent="0.2">
      <c r="A48" s="14" t="s">
        <v>15</v>
      </c>
      <c r="B48" s="14" t="s">
        <v>62</v>
      </c>
      <c r="C48" s="10"/>
      <c r="D48" s="11">
        <v>0.96600000000000008</v>
      </c>
      <c r="E48" s="13"/>
      <c r="F48" s="5"/>
      <c r="G48" s="5"/>
      <c r="H48" s="5"/>
      <c r="I48" s="5">
        <f>1*I3</f>
        <v>0</v>
      </c>
      <c r="J48" s="5">
        <f>1*J3</f>
        <v>0</v>
      </c>
      <c r="K48" s="5"/>
      <c r="L48" s="5"/>
      <c r="M48" s="5"/>
      <c r="N48" s="5"/>
      <c r="O48" s="5">
        <f t="shared" si="10"/>
        <v>0</v>
      </c>
      <c r="P48" s="12">
        <f t="shared" si="7"/>
        <v>0</v>
      </c>
    </row>
    <row r="49" spans="1:40" ht="126" customHeight="1" x14ac:dyDescent="0.2">
      <c r="A49" s="14" t="s">
        <v>16</v>
      </c>
      <c r="B49" s="14" t="s">
        <v>63</v>
      </c>
      <c r="C49" s="10"/>
      <c r="D49" s="11">
        <v>0.83</v>
      </c>
      <c r="E49" s="13">
        <f>1*E3</f>
        <v>0</v>
      </c>
      <c r="F49" s="13">
        <f>1*F3</f>
        <v>0</v>
      </c>
      <c r="G49" s="13">
        <f>1*G3</f>
        <v>0</v>
      </c>
      <c r="H49" s="13">
        <f>1*H3</f>
        <v>0</v>
      </c>
      <c r="I49" s="5"/>
      <c r="J49" s="5"/>
      <c r="K49" s="5"/>
      <c r="L49" s="5"/>
      <c r="M49" s="5"/>
      <c r="N49" s="5"/>
      <c r="O49" s="5">
        <f t="shared" si="10"/>
        <v>0</v>
      </c>
      <c r="P49" s="12">
        <f t="shared" si="7"/>
        <v>0</v>
      </c>
    </row>
    <row r="50" spans="1:40" ht="108" customHeight="1" x14ac:dyDescent="0.2">
      <c r="A50" s="14" t="s">
        <v>17</v>
      </c>
      <c r="B50" s="14" t="s">
        <v>64</v>
      </c>
      <c r="C50" s="10"/>
      <c r="D50" s="11">
        <v>10.497199999999999</v>
      </c>
      <c r="E50" s="13">
        <f>2*E3</f>
        <v>0</v>
      </c>
      <c r="F50" s="13">
        <f>1*F3</f>
        <v>0</v>
      </c>
      <c r="G50" s="13">
        <f>2*G3</f>
        <v>0</v>
      </c>
      <c r="H50" s="13">
        <f>1*H3</f>
        <v>0</v>
      </c>
      <c r="I50" s="5">
        <f>2*I3</f>
        <v>0</v>
      </c>
      <c r="J50" s="5">
        <f>2*J3</f>
        <v>0</v>
      </c>
      <c r="K50" s="5"/>
      <c r="L50" s="5"/>
      <c r="M50" s="5"/>
      <c r="N50" s="5"/>
      <c r="O50" s="5">
        <f t="shared" si="10"/>
        <v>0</v>
      </c>
      <c r="P50" s="12">
        <f t="shared" si="7"/>
        <v>0</v>
      </c>
    </row>
    <row r="51" spans="1:40" ht="32" x14ac:dyDescent="0.2">
      <c r="A51" s="14" t="s">
        <v>174</v>
      </c>
      <c r="B51" s="48" t="s">
        <v>190</v>
      </c>
      <c r="C51" s="10"/>
      <c r="D51" s="11">
        <v>8.6295999999999999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f t="shared" si="10"/>
        <v>0</v>
      </c>
      <c r="P51" s="12">
        <f t="shared" si="7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ht="32" x14ac:dyDescent="0.2">
      <c r="A52" s="14" t="s">
        <v>175</v>
      </c>
      <c r="B52" s="48" t="s">
        <v>191</v>
      </c>
      <c r="C52" s="10"/>
      <c r="D52" s="11">
        <v>6.78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f t="shared" si="10"/>
        <v>0</v>
      </c>
      <c r="P52" s="12">
        <f t="shared" ref="P52:P83" si="11">D52*O52</f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ht="108" customHeight="1" x14ac:dyDescent="0.2">
      <c r="A53" s="14" t="s">
        <v>18</v>
      </c>
      <c r="B53" s="14" t="s">
        <v>65</v>
      </c>
      <c r="C53" s="10"/>
      <c r="D53" s="11">
        <v>6.78</v>
      </c>
      <c r="E53" s="13"/>
      <c r="F53" s="5"/>
      <c r="G53" s="5"/>
      <c r="H53" s="5"/>
      <c r="I53" s="5"/>
      <c r="J53" s="5"/>
      <c r="K53" s="5"/>
      <c r="L53" s="5"/>
      <c r="M53" s="5"/>
      <c r="N53" s="5"/>
      <c r="O53" s="5">
        <f t="shared" si="10"/>
        <v>0</v>
      </c>
      <c r="P53" s="12">
        <f t="shared" si="11"/>
        <v>0</v>
      </c>
    </row>
    <row r="54" spans="1:40" ht="32" x14ac:dyDescent="0.2">
      <c r="A54" s="14" t="s">
        <v>19</v>
      </c>
      <c r="B54" s="14" t="s">
        <v>66</v>
      </c>
      <c r="C54" s="10"/>
      <c r="D54" s="11">
        <v>2.6661599999999996</v>
      </c>
      <c r="E54" s="13"/>
      <c r="F54" s="5"/>
      <c r="G54" s="5">
        <f>2*G3</f>
        <v>0</v>
      </c>
      <c r="H54" s="5">
        <f>1*H3</f>
        <v>0</v>
      </c>
      <c r="I54" s="5">
        <f>2*I3</f>
        <v>0</v>
      </c>
      <c r="J54" s="5"/>
      <c r="K54" s="5"/>
      <c r="L54" s="5"/>
      <c r="M54" s="5"/>
      <c r="N54" s="5"/>
      <c r="O54" s="5">
        <f t="shared" si="10"/>
        <v>0</v>
      </c>
      <c r="P54" s="12">
        <f t="shared" si="11"/>
        <v>0</v>
      </c>
    </row>
    <row r="55" spans="1:40" ht="32" x14ac:dyDescent="0.2">
      <c r="A55" s="14" t="s">
        <v>20</v>
      </c>
      <c r="B55" s="14" t="s">
        <v>67</v>
      </c>
      <c r="C55" s="10"/>
      <c r="D55" s="11">
        <v>3.4389599999999998</v>
      </c>
      <c r="E55" s="13">
        <f>2*E3</f>
        <v>0</v>
      </c>
      <c r="F55" s="13">
        <f>1*F3</f>
        <v>0</v>
      </c>
      <c r="G55" s="13"/>
      <c r="H55" s="13"/>
      <c r="I55" s="5"/>
      <c r="J55" s="5">
        <f>2*J3</f>
        <v>0</v>
      </c>
      <c r="K55" s="5"/>
      <c r="L55" s="5"/>
      <c r="M55" s="5"/>
      <c r="N55" s="5"/>
      <c r="O55" s="5">
        <f t="shared" si="10"/>
        <v>0</v>
      </c>
      <c r="P55" s="12">
        <f t="shared" si="11"/>
        <v>0</v>
      </c>
    </row>
    <row r="56" spans="1:40" ht="32" x14ac:dyDescent="0.2">
      <c r="A56" s="14" t="s">
        <v>21</v>
      </c>
      <c r="B56" s="14" t="s">
        <v>131</v>
      </c>
      <c r="C56" s="10"/>
      <c r="D56" s="11">
        <v>3.4389599999999998</v>
      </c>
      <c r="E56" s="13"/>
      <c r="F56" s="13"/>
      <c r="G56" s="13"/>
      <c r="H56" s="13"/>
      <c r="I56" s="5"/>
      <c r="J56" s="5"/>
      <c r="K56" s="5"/>
      <c r="L56" s="5"/>
      <c r="M56" s="5"/>
      <c r="N56" s="5"/>
      <c r="O56" s="5">
        <f t="shared" si="10"/>
        <v>0</v>
      </c>
      <c r="P56" s="12">
        <f t="shared" si="11"/>
        <v>0</v>
      </c>
    </row>
    <row r="57" spans="1:40" ht="162" customHeight="1" x14ac:dyDescent="0.2">
      <c r="A57" s="14" t="s">
        <v>22</v>
      </c>
      <c r="B57" s="14" t="s">
        <v>70</v>
      </c>
      <c r="C57" s="10"/>
      <c r="D57" s="11">
        <v>0.15512465373961221</v>
      </c>
      <c r="E57" s="13">
        <f>2*E3</f>
        <v>0</v>
      </c>
      <c r="F57" s="13">
        <f>1*F3</f>
        <v>0</v>
      </c>
      <c r="G57" s="13">
        <f>1*G3</f>
        <v>0</v>
      </c>
      <c r="H57" s="13">
        <f>1*H3</f>
        <v>0</v>
      </c>
      <c r="I57" s="13">
        <f>2*I3</f>
        <v>0</v>
      </c>
      <c r="J57" s="13">
        <f>2*J3</f>
        <v>0</v>
      </c>
      <c r="K57" s="13"/>
      <c r="L57" s="13"/>
      <c r="M57" s="13"/>
      <c r="N57" s="13"/>
      <c r="O57" s="5">
        <f t="shared" si="10"/>
        <v>0</v>
      </c>
      <c r="P57" s="12">
        <f t="shared" si="11"/>
        <v>0</v>
      </c>
    </row>
    <row r="58" spans="1:40" ht="164" customHeight="1" x14ac:dyDescent="0.2">
      <c r="A58" s="14" t="s">
        <v>23</v>
      </c>
      <c r="B58" s="14" t="s">
        <v>69</v>
      </c>
      <c r="C58" s="10"/>
      <c r="D58" s="11">
        <v>0.27922437673130196</v>
      </c>
      <c r="E58" s="13">
        <f>2*E3</f>
        <v>0</v>
      </c>
      <c r="F58" s="13">
        <f>1*F3</f>
        <v>0</v>
      </c>
      <c r="G58" s="13">
        <f>2*G3</f>
        <v>0</v>
      </c>
      <c r="H58" s="13">
        <f>1*H3</f>
        <v>0</v>
      </c>
      <c r="I58" s="5">
        <f>2*I3</f>
        <v>0</v>
      </c>
      <c r="J58" s="5">
        <f>2*J3</f>
        <v>0</v>
      </c>
      <c r="K58" s="5"/>
      <c r="L58" s="5"/>
      <c r="M58" s="5"/>
      <c r="N58" s="5"/>
      <c r="O58" s="5">
        <f t="shared" si="10"/>
        <v>0</v>
      </c>
      <c r="P58" s="12">
        <f t="shared" si="11"/>
        <v>0</v>
      </c>
    </row>
    <row r="59" spans="1:40" ht="174" customHeight="1" x14ac:dyDescent="0.2">
      <c r="A59" s="14" t="s">
        <v>24</v>
      </c>
      <c r="B59" s="14" t="s">
        <v>68</v>
      </c>
      <c r="C59" s="10"/>
      <c r="D59" s="11">
        <v>0.12409972299168978</v>
      </c>
      <c r="E59" s="13">
        <f>2*E3</f>
        <v>0</v>
      </c>
      <c r="F59" s="13">
        <f>1*F3</f>
        <v>0</v>
      </c>
      <c r="G59" s="13">
        <f>2*G3</f>
        <v>0</v>
      </c>
      <c r="H59" s="13">
        <f>1*H3</f>
        <v>0</v>
      </c>
      <c r="I59" s="5">
        <f>2*I3</f>
        <v>0</v>
      </c>
      <c r="J59" s="5">
        <f>2*J3</f>
        <v>0</v>
      </c>
      <c r="K59" s="5"/>
      <c r="L59" s="5"/>
      <c r="M59" s="5"/>
      <c r="N59" s="5"/>
      <c r="O59" s="5">
        <f t="shared" si="10"/>
        <v>0</v>
      </c>
      <c r="P59" s="12">
        <f t="shared" si="11"/>
        <v>0</v>
      </c>
    </row>
    <row r="60" spans="1:40" ht="152" customHeight="1" x14ac:dyDescent="0.2">
      <c r="A60" s="14" t="s">
        <v>25</v>
      </c>
      <c r="B60" s="14" t="s">
        <v>71</v>
      </c>
      <c r="C60" s="10"/>
      <c r="D60" s="11">
        <v>3.1024930747922445E-2</v>
      </c>
      <c r="E60" s="13">
        <f>2*E3</f>
        <v>0</v>
      </c>
      <c r="F60" s="13">
        <f>1*F3</f>
        <v>0</v>
      </c>
      <c r="G60" s="13">
        <f>2*G3</f>
        <v>0</v>
      </c>
      <c r="H60" s="13">
        <f>1*H3</f>
        <v>0</v>
      </c>
      <c r="I60" s="5">
        <f>2*I3</f>
        <v>0</v>
      </c>
      <c r="J60" s="5">
        <f>2*J3</f>
        <v>0</v>
      </c>
      <c r="K60" s="5"/>
      <c r="L60" s="5"/>
      <c r="M60" s="5"/>
      <c r="N60" s="5"/>
      <c r="O60" s="5">
        <f t="shared" si="10"/>
        <v>0</v>
      </c>
      <c r="P60" s="12">
        <f t="shared" si="11"/>
        <v>0</v>
      </c>
    </row>
    <row r="61" spans="1:40" ht="128" customHeight="1" x14ac:dyDescent="0.2">
      <c r="A61" s="14" t="s">
        <v>26</v>
      </c>
      <c r="B61" s="14" t="s">
        <v>72</v>
      </c>
      <c r="C61" s="10"/>
      <c r="D61" s="11">
        <v>3.49</v>
      </c>
      <c r="E61" s="13"/>
      <c r="F61" s="5"/>
      <c r="G61" s="5"/>
      <c r="H61" s="5"/>
      <c r="I61" s="5"/>
      <c r="J61" s="5"/>
      <c r="K61" s="5"/>
      <c r="L61" s="5"/>
      <c r="M61" s="5"/>
      <c r="N61" s="5"/>
      <c r="O61" s="5">
        <f t="shared" si="10"/>
        <v>0</v>
      </c>
      <c r="P61" s="12">
        <f t="shared" si="11"/>
        <v>0</v>
      </c>
    </row>
    <row r="62" spans="1:40" ht="218" customHeight="1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13"/>
      <c r="F62" s="5"/>
      <c r="G62" s="5"/>
      <c r="H62" s="5"/>
      <c r="I62" s="5"/>
      <c r="J62" s="5"/>
      <c r="K62" s="5"/>
      <c r="L62" s="5"/>
      <c r="M62" s="5"/>
      <c r="N62" s="5"/>
      <c r="O62" s="5">
        <f t="shared" si="10"/>
        <v>0</v>
      </c>
      <c r="P62" s="12">
        <f t="shared" si="11"/>
        <v>0</v>
      </c>
    </row>
    <row r="63" spans="1:40" ht="235" customHeight="1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3"/>
      <c r="F63" s="5"/>
      <c r="G63" s="5"/>
      <c r="H63" s="5"/>
      <c r="I63" s="5"/>
      <c r="J63" s="5"/>
      <c r="K63" s="5"/>
      <c r="L63" s="5"/>
      <c r="M63" s="5"/>
      <c r="N63" s="5"/>
      <c r="O63" s="5">
        <f t="shared" si="10"/>
        <v>0</v>
      </c>
      <c r="P63" s="12">
        <f t="shared" si="11"/>
        <v>0</v>
      </c>
    </row>
    <row r="64" spans="1:40" ht="126" customHeight="1" x14ac:dyDescent="0.2">
      <c r="A64" s="14" t="s">
        <v>29</v>
      </c>
      <c r="B64" s="14" t="s">
        <v>75</v>
      </c>
      <c r="C64" s="10"/>
      <c r="D64" s="11">
        <v>1.1399999999999999</v>
      </c>
      <c r="E64" s="13">
        <f>2*E3</f>
        <v>0</v>
      </c>
      <c r="F64" s="13">
        <f>1*F3</f>
        <v>0</v>
      </c>
      <c r="G64" s="13">
        <f>2*G3</f>
        <v>0</v>
      </c>
      <c r="H64" s="13">
        <f>1*H3</f>
        <v>0</v>
      </c>
      <c r="I64" s="5">
        <f>2*I3</f>
        <v>0</v>
      </c>
      <c r="J64" s="5">
        <f>2*J3</f>
        <v>0</v>
      </c>
      <c r="K64" s="5"/>
      <c r="L64" s="5"/>
      <c r="M64" s="5"/>
      <c r="N64" s="5"/>
      <c r="O64" s="5">
        <f t="shared" si="10"/>
        <v>0</v>
      </c>
      <c r="P64" s="12">
        <f t="shared" si="11"/>
        <v>0</v>
      </c>
    </row>
    <row r="65" spans="1:40" ht="94" customHeight="1" x14ac:dyDescent="0.2">
      <c r="A65" s="14" t="s">
        <v>30</v>
      </c>
      <c r="B65" s="14" t="s">
        <v>76</v>
      </c>
      <c r="C65" s="10"/>
      <c r="D65" s="11">
        <v>1.22</v>
      </c>
      <c r="E65" s="13"/>
      <c r="F65" s="5"/>
      <c r="G65" s="5"/>
      <c r="H65" s="5"/>
      <c r="I65" s="5"/>
      <c r="J65" s="5"/>
      <c r="K65" s="5"/>
      <c r="L65" s="5"/>
      <c r="M65" s="5"/>
      <c r="N65" s="5"/>
      <c r="O65" s="5">
        <f t="shared" si="10"/>
        <v>0</v>
      </c>
      <c r="P65" s="12">
        <f t="shared" si="11"/>
        <v>0</v>
      </c>
    </row>
    <row r="66" spans="1:40" ht="132" customHeight="1" x14ac:dyDescent="0.2">
      <c r="A66" s="14" t="s">
        <v>31</v>
      </c>
      <c r="B66" s="14" t="s">
        <v>187</v>
      </c>
      <c r="C66" s="10"/>
      <c r="D66" s="11">
        <v>2.15</v>
      </c>
      <c r="E66" s="13"/>
      <c r="F66" s="5"/>
      <c r="G66" s="5"/>
      <c r="H66" s="5"/>
      <c r="I66" s="5"/>
      <c r="J66" s="5"/>
      <c r="K66" s="5"/>
      <c r="L66" s="5"/>
      <c r="M66" s="5"/>
      <c r="N66" s="5"/>
      <c r="O66" s="5">
        <f t="shared" si="10"/>
        <v>0</v>
      </c>
      <c r="P66" s="12">
        <f t="shared" si="11"/>
        <v>0</v>
      </c>
    </row>
    <row r="67" spans="1:40" ht="152" customHeight="1" x14ac:dyDescent="0.2">
      <c r="A67" s="14" t="s">
        <v>32</v>
      </c>
      <c r="B67" s="14" t="s">
        <v>77</v>
      </c>
      <c r="C67" s="10"/>
      <c r="D67" s="11">
        <v>5.5579999999999998</v>
      </c>
      <c r="E67" s="13">
        <f>1*E3</f>
        <v>0</v>
      </c>
      <c r="F67" s="13"/>
      <c r="G67" s="13">
        <f>1*G3</f>
        <v>0</v>
      </c>
      <c r="H67" s="5"/>
      <c r="I67" s="5">
        <f>1*I3</f>
        <v>0</v>
      </c>
      <c r="J67" s="5">
        <f>1*J3</f>
        <v>0</v>
      </c>
      <c r="K67" s="5"/>
      <c r="L67" s="5"/>
      <c r="M67" s="5"/>
      <c r="N67" s="5"/>
      <c r="O67" s="5">
        <f t="shared" si="10"/>
        <v>0</v>
      </c>
      <c r="P67" s="12">
        <f t="shared" si="11"/>
        <v>0</v>
      </c>
    </row>
    <row r="68" spans="1:40" ht="160" customHeight="1" x14ac:dyDescent="0.2">
      <c r="A68" s="14" t="s">
        <v>33</v>
      </c>
      <c r="B68" s="14" t="s">
        <v>78</v>
      </c>
      <c r="C68" s="10"/>
      <c r="D68" s="11">
        <v>5.5579999999999998</v>
      </c>
      <c r="E68" s="13">
        <f>1*E3</f>
        <v>0</v>
      </c>
      <c r="F68" s="13"/>
      <c r="G68" s="13">
        <f>1*G3</f>
        <v>0</v>
      </c>
      <c r="H68" s="5"/>
      <c r="I68" s="5">
        <f>1*I3</f>
        <v>0</v>
      </c>
      <c r="J68" s="5">
        <f>1*J3</f>
        <v>0</v>
      </c>
      <c r="K68" s="5"/>
      <c r="L68" s="5"/>
      <c r="M68" s="5"/>
      <c r="N68" s="5"/>
      <c r="O68" s="5">
        <f t="shared" si="10"/>
        <v>0</v>
      </c>
      <c r="P68" s="12">
        <f t="shared" si="11"/>
        <v>0</v>
      </c>
    </row>
    <row r="69" spans="1:40" ht="64" x14ac:dyDescent="0.2">
      <c r="A69" s="14" t="s">
        <v>176</v>
      </c>
      <c r="B69" s="14" t="s">
        <v>192</v>
      </c>
      <c r="C69" s="10"/>
      <c r="D69" s="11">
        <v>5.5579999999999998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f t="shared" si="10"/>
        <v>0</v>
      </c>
      <c r="P69" s="12">
        <f t="shared" si="1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ht="64" x14ac:dyDescent="0.2">
      <c r="A70" s="14" t="s">
        <v>177</v>
      </c>
      <c r="B70" s="14" t="s">
        <v>193</v>
      </c>
      <c r="C70" s="10"/>
      <c r="D70" s="11">
        <v>5.5579999999999998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f t="shared" si="10"/>
        <v>0</v>
      </c>
      <c r="P70" s="12">
        <f t="shared" si="1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ht="64" x14ac:dyDescent="0.2">
      <c r="A71" s="14" t="s">
        <v>178</v>
      </c>
      <c r="B71" s="14" t="s">
        <v>194</v>
      </c>
      <c r="C71" s="10"/>
      <c r="D71" s="11">
        <v>5.5579999999999998</v>
      </c>
      <c r="O71" s="5">
        <f t="shared" si="10"/>
        <v>0</v>
      </c>
      <c r="P71" s="12">
        <f t="shared" si="11"/>
        <v>0</v>
      </c>
    </row>
    <row r="72" spans="1:40" ht="64" x14ac:dyDescent="0.2">
      <c r="A72" s="14" t="s">
        <v>179</v>
      </c>
      <c r="B72" s="14" t="s">
        <v>195</v>
      </c>
      <c r="C72" s="10"/>
      <c r="D72" s="11">
        <v>5.5579999999999998</v>
      </c>
      <c r="O72" s="5">
        <f t="shared" si="10"/>
        <v>0</v>
      </c>
      <c r="P72" s="12">
        <f t="shared" si="11"/>
        <v>0</v>
      </c>
    </row>
    <row r="73" spans="1:40" ht="142" customHeight="1" x14ac:dyDescent="0.2">
      <c r="A73" s="14" t="s">
        <v>34</v>
      </c>
      <c r="B73" s="14" t="s">
        <v>79</v>
      </c>
      <c r="C73" s="10"/>
      <c r="D73" s="11">
        <v>3.3879999999999999</v>
      </c>
      <c r="E73" s="13"/>
      <c r="F73" s="5"/>
      <c r="G73" s="5"/>
      <c r="H73" s="5"/>
      <c r="I73" s="5"/>
      <c r="J73" s="5"/>
      <c r="K73" s="5"/>
      <c r="L73" s="5"/>
      <c r="M73" s="5"/>
      <c r="N73" s="5"/>
      <c r="O73" s="5">
        <f t="shared" si="10"/>
        <v>0</v>
      </c>
      <c r="P73" s="12">
        <f t="shared" si="11"/>
        <v>0</v>
      </c>
    </row>
    <row r="74" spans="1:40" ht="110" customHeight="1" x14ac:dyDescent="0.2">
      <c r="A74" s="14" t="s">
        <v>35</v>
      </c>
      <c r="B74" s="14" t="s">
        <v>80</v>
      </c>
      <c r="C74" s="10"/>
      <c r="D74" s="11">
        <v>3.3879999999999999</v>
      </c>
      <c r="E74" s="13"/>
      <c r="F74" s="5"/>
      <c r="G74" s="5"/>
      <c r="H74" s="5"/>
      <c r="I74" s="5"/>
      <c r="J74" s="5"/>
      <c r="K74" s="5"/>
      <c r="L74" s="5"/>
      <c r="M74" s="5"/>
      <c r="N74" s="5"/>
      <c r="O74" s="5">
        <f t="shared" si="10"/>
        <v>0</v>
      </c>
      <c r="P74" s="12">
        <f t="shared" si="11"/>
        <v>0</v>
      </c>
    </row>
    <row r="75" spans="1:40" ht="108" customHeight="1" x14ac:dyDescent="0.2">
      <c r="A75" s="14" t="s">
        <v>36</v>
      </c>
      <c r="B75" s="14" t="s">
        <v>81</v>
      </c>
      <c r="C75" s="10"/>
      <c r="D75" s="11">
        <v>2.1280000000000001</v>
      </c>
      <c r="E75" s="13"/>
      <c r="F75" s="5"/>
      <c r="G75" s="5"/>
      <c r="H75" s="5"/>
      <c r="I75" s="5"/>
      <c r="J75" s="5"/>
      <c r="K75" s="5"/>
      <c r="L75" s="5"/>
      <c r="M75" s="5"/>
      <c r="N75" s="5"/>
      <c r="O75" s="5">
        <f t="shared" si="10"/>
        <v>0</v>
      </c>
      <c r="P75" s="12">
        <f t="shared" si="11"/>
        <v>0</v>
      </c>
    </row>
    <row r="76" spans="1:40" ht="132" customHeight="1" x14ac:dyDescent="0.2">
      <c r="A76" s="14" t="s">
        <v>37</v>
      </c>
      <c r="B76" s="14" t="s">
        <v>82</v>
      </c>
      <c r="C76" s="10"/>
      <c r="D76" s="11">
        <v>2.702</v>
      </c>
      <c r="E76" s="13"/>
      <c r="F76" s="5"/>
      <c r="G76" s="5"/>
      <c r="H76" s="5"/>
      <c r="I76" s="5"/>
      <c r="J76" s="5"/>
      <c r="K76" s="5"/>
      <c r="L76" s="5"/>
      <c r="M76" s="5"/>
      <c r="N76" s="5"/>
      <c r="O76" s="5">
        <f t="shared" ref="O76:O82" si="12">SUM(E76:J76)</f>
        <v>0</v>
      </c>
      <c r="P76" s="12">
        <f t="shared" si="11"/>
        <v>0</v>
      </c>
    </row>
    <row r="77" spans="1:40" ht="128" customHeight="1" x14ac:dyDescent="0.2">
      <c r="A77" s="14" t="s">
        <v>38</v>
      </c>
      <c r="B77" s="14" t="s">
        <v>83</v>
      </c>
      <c r="C77" s="10"/>
      <c r="D77" s="11">
        <v>0.68599999999999994</v>
      </c>
      <c r="E77" s="13"/>
      <c r="F77" s="5"/>
      <c r="G77" s="5">
        <f>1*G3</f>
        <v>0</v>
      </c>
      <c r="H77" s="5"/>
      <c r="I77" s="5">
        <f>1*I3</f>
        <v>0</v>
      </c>
      <c r="J77" s="5"/>
      <c r="K77" s="5"/>
      <c r="L77" s="5"/>
      <c r="M77" s="5"/>
      <c r="N77" s="5"/>
      <c r="O77" s="5">
        <f t="shared" si="12"/>
        <v>0</v>
      </c>
      <c r="P77" s="12">
        <f t="shared" si="11"/>
        <v>0</v>
      </c>
    </row>
    <row r="78" spans="1:40" ht="120" customHeight="1" x14ac:dyDescent="0.2">
      <c r="A78" s="14" t="s">
        <v>39</v>
      </c>
      <c r="B78" s="14" t="s">
        <v>84</v>
      </c>
      <c r="C78" s="10"/>
      <c r="D78" s="11">
        <v>0.68599999999999994</v>
      </c>
      <c r="E78" s="13"/>
      <c r="F78" s="5"/>
      <c r="G78" s="5">
        <f>1*G3</f>
        <v>0</v>
      </c>
      <c r="H78" s="5"/>
      <c r="I78" s="5">
        <f>1*I3</f>
        <v>0</v>
      </c>
      <c r="J78" s="5"/>
      <c r="K78" s="5"/>
      <c r="L78" s="5"/>
      <c r="M78" s="5"/>
      <c r="N78" s="5"/>
      <c r="O78" s="5">
        <f t="shared" si="12"/>
        <v>0</v>
      </c>
      <c r="P78" s="12">
        <f t="shared" si="11"/>
        <v>0</v>
      </c>
    </row>
    <row r="79" spans="1:40" ht="132" customHeight="1" x14ac:dyDescent="0.2">
      <c r="A79" s="14" t="s">
        <v>40</v>
      </c>
      <c r="B79" s="14" t="s">
        <v>85</v>
      </c>
      <c r="C79" s="10"/>
      <c r="D79" s="11">
        <v>0.98</v>
      </c>
      <c r="E79" s="13">
        <f>1*E3</f>
        <v>0</v>
      </c>
      <c r="F79" s="5"/>
      <c r="G79" s="5"/>
      <c r="H79" s="5"/>
      <c r="I79" s="5"/>
      <c r="J79" s="5">
        <f>1*J3</f>
        <v>0</v>
      </c>
      <c r="K79" s="5"/>
      <c r="L79" s="5"/>
      <c r="M79" s="5"/>
      <c r="N79" s="5"/>
      <c r="O79" s="5">
        <f t="shared" si="12"/>
        <v>0</v>
      </c>
      <c r="P79" s="12">
        <f t="shared" si="11"/>
        <v>0</v>
      </c>
    </row>
    <row r="80" spans="1:40" ht="110" customHeight="1" x14ac:dyDescent="0.2">
      <c r="A80" s="14" t="s">
        <v>41</v>
      </c>
      <c r="B80" s="15" t="s">
        <v>254</v>
      </c>
      <c r="C80" s="16"/>
      <c r="D80" s="11">
        <v>0.98</v>
      </c>
      <c r="E80" s="13">
        <f>1*E3</f>
        <v>0</v>
      </c>
      <c r="F80" s="5"/>
      <c r="G80" s="5"/>
      <c r="H80" s="5"/>
      <c r="I80" s="5"/>
      <c r="J80" s="5">
        <f>1*J3</f>
        <v>0</v>
      </c>
      <c r="K80" s="5"/>
      <c r="L80" s="5"/>
      <c r="M80" s="5"/>
      <c r="N80" s="5"/>
      <c r="O80" s="5">
        <f t="shared" si="12"/>
        <v>0</v>
      </c>
      <c r="P80" s="12">
        <f t="shared" si="11"/>
        <v>0</v>
      </c>
    </row>
    <row r="81" spans="1:40" ht="132" customHeight="1" x14ac:dyDescent="0.2">
      <c r="A81" s="14" t="s">
        <v>136</v>
      </c>
      <c r="B81" s="14" t="s">
        <v>132</v>
      </c>
      <c r="C81" s="10"/>
      <c r="D81" s="11">
        <v>0.98</v>
      </c>
      <c r="E81" s="13"/>
      <c r="F81" s="5"/>
      <c r="G81" s="5"/>
      <c r="H81" s="5"/>
      <c r="I81" s="5"/>
      <c r="J81" s="5">
        <f>1*J5</f>
        <v>0</v>
      </c>
      <c r="K81" s="5"/>
      <c r="L81" s="5"/>
      <c r="M81" s="5"/>
      <c r="N81" s="5"/>
      <c r="O81" s="5">
        <f t="shared" si="12"/>
        <v>0</v>
      </c>
      <c r="P81" s="12">
        <f t="shared" si="11"/>
        <v>0</v>
      </c>
    </row>
    <row r="82" spans="1:40" ht="110" customHeight="1" x14ac:dyDescent="0.2">
      <c r="A82" s="14" t="s">
        <v>137</v>
      </c>
      <c r="B82" s="15" t="s">
        <v>255</v>
      </c>
      <c r="C82" s="16"/>
      <c r="D82" s="11">
        <v>0.98</v>
      </c>
      <c r="E82" s="13"/>
      <c r="F82" s="5"/>
      <c r="G82" s="5"/>
      <c r="H82" s="5"/>
      <c r="I82" s="5"/>
      <c r="J82" s="5">
        <f>1*J5</f>
        <v>0</v>
      </c>
      <c r="K82" s="5"/>
      <c r="L82" s="5"/>
      <c r="M82" s="5"/>
      <c r="N82" s="5"/>
      <c r="O82" s="5">
        <f t="shared" si="12"/>
        <v>0</v>
      </c>
      <c r="P82" s="12">
        <f t="shared" si="11"/>
        <v>0</v>
      </c>
    </row>
    <row r="83" spans="1:40" ht="128" x14ac:dyDescent="0.2">
      <c r="A83" s="10" t="s">
        <v>154</v>
      </c>
      <c r="B83" s="10" t="s">
        <v>155</v>
      </c>
      <c r="C83" s="10"/>
      <c r="D83" s="11">
        <v>19.137999999999998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f t="shared" ref="O83:O90" si="13">SUM(E83:J83)</f>
        <v>0</v>
      </c>
      <c r="P83" s="25">
        <f t="shared" si="11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ht="288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f t="shared" si="13"/>
        <v>0</v>
      </c>
      <c r="P84" s="25">
        <f t="shared" ref="P84:P90" si="14">D84*O84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ht="288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 t="shared" si="13"/>
        <v>0</v>
      </c>
      <c r="P85" s="25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ht="288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f t="shared" si="13"/>
        <v>0</v>
      </c>
      <c r="P86" s="25">
        <f t="shared" si="14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ht="128" x14ac:dyDescent="0.2">
      <c r="A87" s="14" t="s">
        <v>180</v>
      </c>
      <c r="B87" s="10" t="s">
        <v>181</v>
      </c>
      <c r="C87" s="10"/>
      <c r="D87" s="11">
        <v>0.75</v>
      </c>
      <c r="O87" s="5">
        <f t="shared" si="13"/>
        <v>0</v>
      </c>
      <c r="P87" s="25">
        <f t="shared" si="14"/>
        <v>0</v>
      </c>
    </row>
    <row r="88" spans="1:40" ht="128" x14ac:dyDescent="0.2">
      <c r="A88" s="14" t="s">
        <v>182</v>
      </c>
      <c r="B88" s="10" t="s">
        <v>183</v>
      </c>
      <c r="C88" s="10"/>
      <c r="D88" s="11">
        <v>0.75</v>
      </c>
      <c r="O88" s="5">
        <f t="shared" si="13"/>
        <v>0</v>
      </c>
      <c r="P88" s="25">
        <f t="shared" si="14"/>
        <v>0</v>
      </c>
    </row>
    <row r="89" spans="1:40" ht="128" x14ac:dyDescent="0.2">
      <c r="A89" s="14" t="s">
        <v>184</v>
      </c>
      <c r="B89" s="10" t="s">
        <v>185</v>
      </c>
      <c r="C89" s="10"/>
      <c r="D89" s="11">
        <v>0.75</v>
      </c>
      <c r="O89" s="5">
        <f t="shared" si="13"/>
        <v>0</v>
      </c>
      <c r="P89" s="25">
        <f t="shared" si="14"/>
        <v>0</v>
      </c>
    </row>
    <row r="90" spans="1:40" ht="128" x14ac:dyDescent="0.2">
      <c r="A90" s="14" t="s">
        <v>186</v>
      </c>
      <c r="B90" s="14" t="s">
        <v>256</v>
      </c>
      <c r="C90" s="10"/>
      <c r="D90" s="11">
        <v>0.75</v>
      </c>
      <c r="O90" s="5">
        <f t="shared" si="13"/>
        <v>0</v>
      </c>
      <c r="P90" s="25">
        <f t="shared" si="14"/>
        <v>0</v>
      </c>
    </row>
    <row r="91" spans="1:40" x14ac:dyDescent="0.2"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3" spans="1:40" s="29" customFormat="1" x14ac:dyDescent="0.2">
      <c r="O93" s="29" t="s">
        <v>114</v>
      </c>
      <c r="P93" s="30">
        <f>SUM(P4:P80)</f>
        <v>0</v>
      </c>
    </row>
  </sheetData>
  <printOptions headings="1" gridLines="1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81CD-A525-3F4E-9B11-5AC69FF7DAF8}">
  <sheetPr>
    <tabColor theme="5"/>
  </sheetPr>
  <dimension ref="A1:AN92"/>
  <sheetViews>
    <sheetView zoomScale="43" zoomScaleNormal="43" workbookViewId="0">
      <selection activeCell="E82" sqref="E82"/>
    </sheetView>
  </sheetViews>
  <sheetFormatPr baseColWidth="10" defaultRowHeight="16" x14ac:dyDescent="0.2"/>
  <cols>
    <col min="1" max="1" width="48.6640625" style="47" customWidth="1"/>
    <col min="2" max="2" width="51" style="47" customWidth="1"/>
    <col min="3" max="3" width="49.1640625" style="47" customWidth="1"/>
    <col min="4" max="4" width="77.6640625" style="47" customWidth="1"/>
    <col min="5" max="5" width="77" style="47" customWidth="1"/>
    <col min="6" max="6" width="48.6640625" style="47" customWidth="1"/>
    <col min="7" max="7" width="55.83203125" style="47" customWidth="1"/>
    <col min="8" max="8" width="55.1640625" style="47" customWidth="1"/>
    <col min="9" max="9" width="57.1640625" style="47" customWidth="1"/>
    <col min="10" max="10" width="57.33203125" style="47" customWidth="1"/>
    <col min="11" max="11" width="3.5" style="47" customWidth="1"/>
    <col min="12" max="12" width="3.33203125" style="47" customWidth="1"/>
    <col min="13" max="13" width="2.5" style="47" customWidth="1"/>
    <col min="14" max="14" width="2.83203125" style="47" customWidth="1"/>
    <col min="15" max="15" width="54" style="47" customWidth="1"/>
    <col min="16" max="16" width="62.33203125" style="47" customWidth="1"/>
    <col min="17" max="16384" width="10.83203125" style="47"/>
  </cols>
  <sheetData>
    <row r="1" spans="1:16" s="35" customFormat="1" ht="321" customHeight="1" x14ac:dyDescent="0.55000000000000004">
      <c r="A1" s="31" t="s">
        <v>88</v>
      </c>
      <c r="B1" s="31" t="s">
        <v>89</v>
      </c>
      <c r="C1" s="32" t="s">
        <v>86</v>
      </c>
      <c r="D1" s="32" t="s">
        <v>87</v>
      </c>
      <c r="E1" s="33" t="s">
        <v>294</v>
      </c>
      <c r="F1" s="33" t="s">
        <v>295</v>
      </c>
      <c r="G1" s="33" t="s">
        <v>296</v>
      </c>
      <c r="H1" s="33" t="s">
        <v>297</v>
      </c>
      <c r="I1" s="33" t="s">
        <v>298</v>
      </c>
      <c r="J1" s="33" t="s">
        <v>299</v>
      </c>
      <c r="K1" s="33"/>
      <c r="L1" s="33"/>
      <c r="M1" s="33"/>
      <c r="N1" s="33"/>
      <c r="O1" s="34"/>
    </row>
    <row r="2" spans="1:16" s="35" customFormat="1" ht="134" customHeight="1" x14ac:dyDescent="0.55000000000000004">
      <c r="A2" s="31"/>
      <c r="B2" s="31"/>
      <c r="C2" s="32"/>
      <c r="D2" s="32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6" s="77" customFormat="1" ht="80" customHeight="1" x14ac:dyDescent="0.2">
      <c r="A3" s="36"/>
      <c r="B3" s="36"/>
      <c r="C3" s="37"/>
      <c r="D3" s="37" t="s">
        <v>126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  <c r="K3" s="38"/>
      <c r="L3" s="38"/>
      <c r="M3" s="38"/>
      <c r="N3" s="38"/>
      <c r="O3" s="38" t="s">
        <v>114</v>
      </c>
      <c r="P3" s="76" t="s">
        <v>118</v>
      </c>
    </row>
    <row r="4" spans="1:16" s="35" customFormat="1" ht="64" x14ac:dyDescent="0.55000000000000004">
      <c r="A4" s="9" t="s">
        <v>108</v>
      </c>
      <c r="B4" s="9" t="s">
        <v>42</v>
      </c>
      <c r="C4" s="10"/>
      <c r="D4" s="11">
        <v>3.2071200000000002</v>
      </c>
      <c r="E4" s="40"/>
      <c r="F4" s="40"/>
      <c r="G4" s="40"/>
      <c r="H4" s="40"/>
      <c r="I4" s="40">
        <f>4*I3</f>
        <v>0</v>
      </c>
      <c r="J4" s="40">
        <f>4*J3</f>
        <v>0</v>
      </c>
      <c r="K4" s="40"/>
      <c r="L4" s="40"/>
      <c r="M4" s="40"/>
      <c r="N4" s="40"/>
      <c r="O4" s="40">
        <f t="shared" ref="O4:O12" si="0">SUM(E4:J4)</f>
        <v>0</v>
      </c>
      <c r="P4" s="41">
        <f t="shared" ref="P4:P18" si="1">D4*O4</f>
        <v>0</v>
      </c>
    </row>
    <row r="5" spans="1:16" s="35" customFormat="1" ht="64" x14ac:dyDescent="0.55000000000000004">
      <c r="A5" s="9" t="s">
        <v>109</v>
      </c>
      <c r="B5" s="9" t="s">
        <v>43</v>
      </c>
      <c r="C5" s="10"/>
      <c r="D5" s="11">
        <v>4.1087199999999999</v>
      </c>
      <c r="E5" s="40"/>
      <c r="F5" s="40"/>
      <c r="G5" s="40"/>
      <c r="H5" s="40"/>
      <c r="I5" s="40">
        <f>1*I3</f>
        <v>0</v>
      </c>
      <c r="J5" s="40">
        <f>1*J3</f>
        <v>0</v>
      </c>
      <c r="K5" s="40"/>
      <c r="L5" s="40"/>
      <c r="M5" s="40"/>
      <c r="N5" s="40"/>
      <c r="O5" s="40">
        <f t="shared" si="0"/>
        <v>0</v>
      </c>
      <c r="P5" s="41">
        <f t="shared" si="1"/>
        <v>0</v>
      </c>
    </row>
    <row r="6" spans="1:16" s="35" customFormat="1" ht="64" x14ac:dyDescent="0.55000000000000004">
      <c r="A6" s="9" t="s">
        <v>110</v>
      </c>
      <c r="B6" s="9" t="s">
        <v>44</v>
      </c>
      <c r="C6" s="10"/>
      <c r="D6" s="11">
        <v>3.47</v>
      </c>
      <c r="E6" s="42">
        <f>4*E3</f>
        <v>0</v>
      </c>
      <c r="F6" s="42">
        <f>4*F3</f>
        <v>0</v>
      </c>
      <c r="G6" s="42">
        <f t="shared" ref="G6:H6" si="2">4*G3</f>
        <v>0</v>
      </c>
      <c r="H6" s="42">
        <f t="shared" si="2"/>
        <v>0</v>
      </c>
      <c r="I6" s="40"/>
      <c r="J6" s="40"/>
      <c r="K6" s="40"/>
      <c r="L6" s="40"/>
      <c r="M6" s="40"/>
      <c r="N6" s="40"/>
      <c r="O6" s="40">
        <f t="shared" si="0"/>
        <v>0</v>
      </c>
      <c r="P6" s="41">
        <f t="shared" si="1"/>
        <v>0</v>
      </c>
    </row>
    <row r="7" spans="1:16" s="35" customFormat="1" ht="64" x14ac:dyDescent="0.55000000000000004">
      <c r="A7" s="9" t="s">
        <v>111</v>
      </c>
      <c r="B7" s="9" t="s">
        <v>45</v>
      </c>
      <c r="C7" s="10"/>
      <c r="D7" s="11">
        <v>4.2699999999999996</v>
      </c>
      <c r="E7" s="42">
        <f>1*E3</f>
        <v>0</v>
      </c>
      <c r="F7" s="42">
        <f>1*F3</f>
        <v>0</v>
      </c>
      <c r="G7" s="42">
        <f t="shared" ref="G7:H7" si="3">1*G3</f>
        <v>0</v>
      </c>
      <c r="H7" s="42">
        <f t="shared" si="3"/>
        <v>0</v>
      </c>
      <c r="I7" s="40"/>
      <c r="J7" s="40"/>
      <c r="K7" s="40"/>
      <c r="L7" s="40"/>
      <c r="M7" s="40"/>
      <c r="N7" s="40"/>
      <c r="O7" s="40">
        <f t="shared" si="0"/>
        <v>0</v>
      </c>
      <c r="P7" s="41">
        <f t="shared" si="1"/>
        <v>0</v>
      </c>
    </row>
    <row r="8" spans="1:16" s="35" customFormat="1" ht="166" customHeight="1" x14ac:dyDescent="0.55000000000000004">
      <c r="A8" s="9" t="s">
        <v>112</v>
      </c>
      <c r="B8" s="9" t="s">
        <v>46</v>
      </c>
      <c r="C8" s="10"/>
      <c r="D8" s="11">
        <v>6.23</v>
      </c>
      <c r="E8" s="42"/>
      <c r="F8" s="40"/>
      <c r="G8" s="40">
        <v>0</v>
      </c>
      <c r="H8" s="40"/>
      <c r="I8" s="40"/>
      <c r="J8" s="40"/>
      <c r="K8" s="40"/>
      <c r="L8" s="40"/>
      <c r="M8" s="40"/>
      <c r="N8" s="40"/>
      <c r="O8" s="40">
        <f t="shared" si="0"/>
        <v>0</v>
      </c>
      <c r="P8" s="41">
        <f t="shared" si="1"/>
        <v>0</v>
      </c>
    </row>
    <row r="9" spans="1:16" s="35" customFormat="1" ht="159" customHeight="1" x14ac:dyDescent="0.55000000000000004">
      <c r="A9" s="9" t="s">
        <v>113</v>
      </c>
      <c r="B9" s="9" t="s">
        <v>47</v>
      </c>
      <c r="C9" s="10"/>
      <c r="D9" s="11">
        <v>7.6579999999999995</v>
      </c>
      <c r="E9" s="42"/>
      <c r="F9" s="40"/>
      <c r="G9" s="40"/>
      <c r="H9" s="40"/>
      <c r="I9" s="40"/>
      <c r="J9" s="40"/>
      <c r="K9" s="40"/>
      <c r="L9" s="40"/>
      <c r="M9" s="40"/>
      <c r="N9" s="40"/>
      <c r="O9" s="40">
        <f t="shared" si="0"/>
        <v>0</v>
      </c>
      <c r="P9" s="41">
        <f t="shared" si="1"/>
        <v>0</v>
      </c>
    </row>
    <row r="10" spans="1:16" s="35" customFormat="1" ht="212" customHeight="1" x14ac:dyDescent="0.55000000000000004">
      <c r="A10" s="9" t="s">
        <v>145</v>
      </c>
      <c r="B10" s="9" t="s">
        <v>48</v>
      </c>
      <c r="C10" s="10" t="s">
        <v>90</v>
      </c>
      <c r="D10" s="11">
        <v>2.4472</v>
      </c>
      <c r="E10" s="42"/>
      <c r="F10" s="40"/>
      <c r="G10" s="40"/>
      <c r="H10" s="40"/>
      <c r="I10" s="40">
        <f>10*I3</f>
        <v>0</v>
      </c>
      <c r="J10" s="40"/>
      <c r="K10" s="40"/>
      <c r="L10" s="40"/>
      <c r="M10" s="40"/>
      <c r="N10" s="40"/>
      <c r="O10" s="40">
        <f t="shared" si="0"/>
        <v>0</v>
      </c>
      <c r="P10" s="41">
        <f t="shared" si="1"/>
        <v>0</v>
      </c>
    </row>
    <row r="11" spans="1:16" s="35" customFormat="1" ht="171" customHeight="1" x14ac:dyDescent="0.55000000000000004">
      <c r="A11" s="9" t="s">
        <v>146</v>
      </c>
      <c r="B11" s="9" t="s">
        <v>49</v>
      </c>
      <c r="C11" s="10" t="s">
        <v>90</v>
      </c>
      <c r="D11" s="11">
        <v>3.3874399999999998</v>
      </c>
      <c r="E11" s="42"/>
      <c r="F11" s="40"/>
      <c r="G11" s="40">
        <f>10*G3</f>
        <v>0</v>
      </c>
      <c r="H11" s="40">
        <f>10*H3</f>
        <v>0</v>
      </c>
      <c r="I11" s="40"/>
      <c r="J11" s="40"/>
      <c r="K11" s="40"/>
      <c r="L11" s="40"/>
      <c r="M11" s="40"/>
      <c r="N11" s="40"/>
      <c r="O11" s="40">
        <f t="shared" si="0"/>
        <v>0</v>
      </c>
      <c r="P11" s="41">
        <f t="shared" si="1"/>
        <v>0</v>
      </c>
    </row>
    <row r="12" spans="1:16" s="35" customFormat="1" ht="149" customHeight="1" x14ac:dyDescent="0.55000000000000004">
      <c r="A12" s="9" t="s">
        <v>142</v>
      </c>
      <c r="B12" s="9" t="s">
        <v>50</v>
      </c>
      <c r="C12" s="10" t="s">
        <v>91</v>
      </c>
      <c r="D12" s="11">
        <v>3.3874399999999998</v>
      </c>
      <c r="E12" s="42"/>
      <c r="F12" s="40"/>
      <c r="G12" s="40"/>
      <c r="H12" s="40"/>
      <c r="I12" s="40"/>
      <c r="J12" s="40"/>
      <c r="K12" s="40"/>
      <c r="L12" s="40"/>
      <c r="M12" s="40"/>
      <c r="N12" s="40"/>
      <c r="O12" s="40">
        <f t="shared" si="0"/>
        <v>0</v>
      </c>
      <c r="P12" s="41">
        <f t="shared" si="1"/>
        <v>0</v>
      </c>
    </row>
    <row r="13" spans="1:16" s="35" customFormat="1" ht="145" customHeight="1" x14ac:dyDescent="0.55000000000000004">
      <c r="A13" s="9" t="s">
        <v>147</v>
      </c>
      <c r="B13" s="9" t="s">
        <v>51</v>
      </c>
      <c r="C13" s="10" t="s">
        <v>91</v>
      </c>
      <c r="D13" s="11">
        <v>4.0571999999999999</v>
      </c>
      <c r="E13" s="42"/>
      <c r="F13" s="40"/>
      <c r="G13" s="40"/>
      <c r="H13" s="40"/>
      <c r="I13" s="40"/>
      <c r="J13" s="40"/>
      <c r="K13" s="40"/>
      <c r="L13" s="40"/>
      <c r="M13" s="40"/>
      <c r="N13" s="40"/>
      <c r="O13" s="40">
        <f t="shared" ref="O13:O16" si="4">SUM(E13:J13)</f>
        <v>0</v>
      </c>
      <c r="P13" s="41">
        <f t="shared" si="1"/>
        <v>0</v>
      </c>
    </row>
    <row r="14" spans="1:16" s="35" customFormat="1" ht="145" customHeight="1" x14ac:dyDescent="0.55000000000000004">
      <c r="A14" s="9" t="s">
        <v>308</v>
      </c>
      <c r="B14" s="9" t="s">
        <v>304</v>
      </c>
      <c r="C14" s="10" t="s">
        <v>91</v>
      </c>
      <c r="D14" s="11">
        <v>4.0571999999999999</v>
      </c>
      <c r="E14" s="42"/>
      <c r="F14" s="40"/>
      <c r="G14" s="40"/>
      <c r="H14" s="40"/>
      <c r="I14" s="40"/>
      <c r="J14" s="40"/>
      <c r="K14" s="40"/>
      <c r="L14" s="40"/>
      <c r="M14" s="40"/>
      <c r="N14" s="40"/>
      <c r="O14" s="40">
        <f t="shared" si="4"/>
        <v>0</v>
      </c>
      <c r="P14" s="41">
        <f t="shared" si="1"/>
        <v>0</v>
      </c>
    </row>
    <row r="15" spans="1:16" s="35" customFormat="1" ht="145" customHeight="1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E15" s="42"/>
      <c r="F15" s="40"/>
      <c r="G15" s="40"/>
      <c r="H15" s="40"/>
      <c r="I15" s="40"/>
      <c r="J15" s="40"/>
      <c r="K15" s="40"/>
      <c r="L15" s="40"/>
      <c r="M15" s="40"/>
      <c r="N15" s="40"/>
      <c r="O15" s="40">
        <f t="shared" si="4"/>
        <v>0</v>
      </c>
      <c r="P15" s="41">
        <f t="shared" si="1"/>
        <v>0</v>
      </c>
    </row>
    <row r="16" spans="1:16" s="35" customFormat="1" ht="145" customHeight="1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E16" s="42"/>
      <c r="F16" s="40"/>
      <c r="G16" s="40"/>
      <c r="H16" s="40"/>
      <c r="I16" s="40"/>
      <c r="J16" s="40"/>
      <c r="K16" s="40"/>
      <c r="L16" s="40"/>
      <c r="M16" s="40"/>
      <c r="N16" s="40"/>
      <c r="O16" s="40">
        <f t="shared" si="4"/>
        <v>0</v>
      </c>
      <c r="P16" s="41">
        <f t="shared" si="1"/>
        <v>0</v>
      </c>
    </row>
    <row r="17" spans="1:40" s="35" customFormat="1" ht="145" customHeight="1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E17" s="42"/>
      <c r="F17" s="40"/>
      <c r="G17" s="40"/>
      <c r="H17" s="40"/>
      <c r="I17" s="40"/>
      <c r="J17" s="40"/>
      <c r="K17" s="40"/>
      <c r="L17" s="40"/>
      <c r="M17" s="40"/>
      <c r="N17" s="40"/>
      <c r="O17" s="40">
        <f t="shared" ref="O17" si="5">SUM(E17:J17)</f>
        <v>0</v>
      </c>
      <c r="P17" s="41">
        <f t="shared" si="1"/>
        <v>0</v>
      </c>
    </row>
    <row r="18" spans="1:40" s="35" customFormat="1" ht="195" customHeight="1" x14ac:dyDescent="0.2">
      <c r="A18" s="9" t="s">
        <v>148</v>
      </c>
      <c r="B18" s="9" t="s">
        <v>104</v>
      </c>
      <c r="C18" s="10" t="s">
        <v>90</v>
      </c>
      <c r="D18" s="11">
        <v>4.0571999999999999</v>
      </c>
      <c r="E18" s="42"/>
      <c r="F18" s="42"/>
      <c r="G18" s="40"/>
      <c r="H18" s="40"/>
      <c r="I18" s="40"/>
      <c r="J18" s="40">
        <f>10*J3</f>
        <v>0</v>
      </c>
      <c r="K18" s="40"/>
      <c r="L18" s="40"/>
      <c r="M18" s="40"/>
      <c r="N18" s="40"/>
      <c r="O18" s="40">
        <f t="shared" ref="O18:O27" si="6">SUM(E18:J18)</f>
        <v>0</v>
      </c>
      <c r="P18" s="41">
        <f t="shared" si="1"/>
        <v>0</v>
      </c>
    </row>
    <row r="19" spans="1:40" s="35" customFormat="1" ht="195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42"/>
      <c r="F19" s="42"/>
      <c r="G19" s="40"/>
      <c r="H19" s="40"/>
      <c r="I19" s="40"/>
      <c r="J19" s="40"/>
      <c r="K19" s="40"/>
      <c r="L19" s="40"/>
      <c r="M19" s="40"/>
      <c r="N19" s="40"/>
      <c r="O19" s="40">
        <f t="shared" si="6"/>
        <v>0</v>
      </c>
      <c r="P19" s="41"/>
    </row>
    <row r="20" spans="1:40" s="35" customFormat="1" ht="207" customHeight="1" x14ac:dyDescent="0.2">
      <c r="A20" s="9" t="s">
        <v>149</v>
      </c>
      <c r="B20" s="9" t="s">
        <v>52</v>
      </c>
      <c r="C20" s="10" t="s">
        <v>90</v>
      </c>
      <c r="D20" s="11">
        <v>4.0571999999999999</v>
      </c>
      <c r="E20" s="42">
        <f>10*E3</f>
        <v>0</v>
      </c>
      <c r="F20" s="42">
        <f>10*F3</f>
        <v>0</v>
      </c>
      <c r="G20" s="40"/>
      <c r="H20" s="40"/>
      <c r="I20" s="40"/>
      <c r="J20" s="40"/>
      <c r="K20" s="40"/>
      <c r="L20" s="40"/>
      <c r="M20" s="40"/>
      <c r="N20" s="40"/>
      <c r="O20" s="40">
        <f t="shared" si="6"/>
        <v>0</v>
      </c>
      <c r="P20" s="41">
        <f t="shared" ref="P20:P51" si="7">D20*O20</f>
        <v>0</v>
      </c>
    </row>
    <row r="21" spans="1:40" s="35" customFormat="1" ht="205" customHeight="1" x14ac:dyDescent="0.2">
      <c r="A21" s="9" t="s">
        <v>150</v>
      </c>
      <c r="B21" s="9" t="s">
        <v>53</v>
      </c>
      <c r="C21" s="10" t="s">
        <v>90</v>
      </c>
      <c r="D21" s="11">
        <v>5.3</v>
      </c>
      <c r="E21" s="42"/>
      <c r="F21" s="40"/>
      <c r="G21" s="40"/>
      <c r="H21" s="40"/>
      <c r="I21" s="40"/>
      <c r="J21" s="40"/>
      <c r="K21" s="40"/>
      <c r="L21" s="40"/>
      <c r="M21" s="40"/>
      <c r="N21" s="40"/>
      <c r="O21" s="40">
        <f t="shared" si="6"/>
        <v>0</v>
      </c>
      <c r="P21" s="41">
        <f t="shared" si="7"/>
        <v>0</v>
      </c>
    </row>
    <row r="22" spans="1:40" s="35" customFormat="1" ht="141" customHeight="1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42"/>
      <c r="F22" s="40"/>
      <c r="G22" s="40"/>
      <c r="H22" s="40"/>
      <c r="I22" s="40"/>
      <c r="J22" s="40"/>
      <c r="K22" s="40"/>
      <c r="L22" s="40"/>
      <c r="M22" s="40"/>
      <c r="N22" s="40"/>
      <c r="O22" s="40">
        <f t="shared" si="6"/>
        <v>0</v>
      </c>
      <c r="P22" s="41">
        <f t="shared" si="7"/>
        <v>0</v>
      </c>
    </row>
    <row r="23" spans="1:40" customFormat="1" ht="119" customHeight="1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40">
        <f t="shared" si="6"/>
        <v>0</v>
      </c>
      <c r="P23" s="41">
        <f t="shared" si="7"/>
        <v>0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spans="1:40" customFormat="1" ht="96" customHeight="1" x14ac:dyDescent="0.2">
      <c r="A24" s="9" t="s">
        <v>162</v>
      </c>
      <c r="B24" s="9" t="s">
        <v>163</v>
      </c>
      <c r="C24" s="10"/>
      <c r="D24" s="11">
        <v>0.24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40">
        <f t="shared" si="6"/>
        <v>0</v>
      </c>
      <c r="P24" s="41">
        <f t="shared" si="7"/>
        <v>0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spans="1:40" customFormat="1" ht="82" customHeight="1" x14ac:dyDescent="0.2">
      <c r="A25" s="9" t="s">
        <v>164</v>
      </c>
      <c r="B25" s="9" t="s">
        <v>165</v>
      </c>
      <c r="C25" s="10"/>
      <c r="D25" s="11">
        <v>0.17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40">
        <f t="shared" si="6"/>
        <v>0</v>
      </c>
      <c r="P25" s="41">
        <f t="shared" si="7"/>
        <v>0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spans="1:40" customFormat="1" ht="141" customHeight="1" x14ac:dyDescent="0.2">
      <c r="A26" s="14" t="s">
        <v>166</v>
      </c>
      <c r="B26" s="14" t="s">
        <v>167</v>
      </c>
      <c r="C26" s="10"/>
      <c r="D26" s="11">
        <v>7.2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40">
        <f t="shared" si="6"/>
        <v>0</v>
      </c>
      <c r="P26" s="41">
        <f t="shared" si="7"/>
        <v>0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</row>
    <row r="27" spans="1:40" customFormat="1" ht="119" customHeight="1" x14ac:dyDescent="0.2">
      <c r="A27" s="78" t="s">
        <v>316</v>
      </c>
      <c r="B27" s="14" t="s">
        <v>169</v>
      </c>
      <c r="C27" s="10"/>
      <c r="D27" s="11">
        <v>7.2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40">
        <f t="shared" si="6"/>
        <v>0</v>
      </c>
      <c r="P27" s="41">
        <f t="shared" si="7"/>
        <v>0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spans="1:40" customFormat="1" ht="119" customHeight="1" x14ac:dyDescent="0.2">
      <c r="A28" s="78" t="s">
        <v>314</v>
      </c>
      <c r="B28" s="14" t="s">
        <v>315</v>
      </c>
      <c r="C28" s="10"/>
      <c r="D28" s="11">
        <v>7.2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40">
        <f t="shared" ref="O28" si="8">SUM(E28:J28)</f>
        <v>0</v>
      </c>
      <c r="P28" s="41">
        <f t="shared" si="7"/>
        <v>0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</row>
    <row r="29" spans="1:40" customFormat="1" ht="111" customHeight="1" x14ac:dyDescent="0.2">
      <c r="A29" s="14" t="s">
        <v>170</v>
      </c>
      <c r="B29" s="14" t="s">
        <v>171</v>
      </c>
      <c r="C29" s="10"/>
      <c r="D29" s="11">
        <v>7.2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40">
        <f>SUM(E29:J29)</f>
        <v>0</v>
      </c>
      <c r="P29" s="41">
        <f t="shared" si="7"/>
        <v>0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spans="1:40" customFormat="1" ht="111" customHeight="1" x14ac:dyDescent="0.2">
      <c r="A30" s="78" t="s">
        <v>312</v>
      </c>
      <c r="B30" s="14" t="s">
        <v>173</v>
      </c>
      <c r="C30" s="10"/>
      <c r="D30" s="11">
        <v>7.2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40">
        <f t="shared" ref="O30" si="9">SUM(E30:J30)</f>
        <v>0</v>
      </c>
      <c r="P30" s="41">
        <f t="shared" si="7"/>
        <v>0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spans="1:40" customFormat="1" ht="116" customHeight="1" x14ac:dyDescent="0.2">
      <c r="A31" s="14" t="s">
        <v>172</v>
      </c>
      <c r="B31" s="14" t="s">
        <v>173</v>
      </c>
      <c r="C31" s="10"/>
      <c r="D31" s="11">
        <v>7.2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40">
        <f t="shared" ref="O31:O74" si="10">SUM(E31:J31)</f>
        <v>0</v>
      </c>
      <c r="P31" s="41">
        <f t="shared" si="7"/>
        <v>0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</row>
    <row r="32" spans="1:40" s="35" customFormat="1" ht="151" customHeight="1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42"/>
      <c r="F32" s="40"/>
      <c r="G32" s="40"/>
      <c r="H32" s="40"/>
      <c r="I32" s="40"/>
      <c r="J32" s="40"/>
      <c r="K32" s="40"/>
      <c r="L32" s="40"/>
      <c r="M32" s="40"/>
      <c r="N32" s="40"/>
      <c r="O32" s="40">
        <f t="shared" si="10"/>
        <v>0</v>
      </c>
      <c r="P32" s="41">
        <f t="shared" si="7"/>
        <v>0</v>
      </c>
    </row>
    <row r="33" spans="1:16" s="35" customFormat="1" ht="161" customHeight="1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42"/>
      <c r="F33" s="42"/>
      <c r="G33" s="40"/>
      <c r="H33" s="40"/>
      <c r="I33" s="40"/>
      <c r="J33" s="40"/>
      <c r="K33" s="40"/>
      <c r="L33" s="40"/>
      <c r="M33" s="40"/>
      <c r="N33" s="40"/>
      <c r="O33" s="40">
        <f t="shared" si="10"/>
        <v>0</v>
      </c>
      <c r="P33" s="41">
        <f t="shared" si="7"/>
        <v>0</v>
      </c>
    </row>
    <row r="34" spans="1:16" s="35" customFormat="1" ht="139" customHeight="1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42"/>
      <c r="F34" s="42"/>
      <c r="G34" s="40"/>
      <c r="H34" s="40"/>
      <c r="I34" s="40"/>
      <c r="J34" s="40"/>
      <c r="K34" s="40"/>
      <c r="L34" s="40"/>
      <c r="M34" s="40"/>
      <c r="N34" s="40"/>
      <c r="O34" s="40">
        <f t="shared" si="10"/>
        <v>0</v>
      </c>
      <c r="P34" s="41">
        <f t="shared" si="7"/>
        <v>0</v>
      </c>
    </row>
    <row r="35" spans="1:16" s="35" customFormat="1" ht="143" customHeight="1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42"/>
      <c r="F35" s="42"/>
      <c r="G35" s="40"/>
      <c r="H35" s="40"/>
      <c r="I35" s="40"/>
      <c r="J35" s="40"/>
      <c r="K35" s="40"/>
      <c r="L35" s="40"/>
      <c r="M35" s="40"/>
      <c r="N35" s="40"/>
      <c r="O35" s="40">
        <f t="shared" si="10"/>
        <v>0</v>
      </c>
      <c r="P35" s="41">
        <f t="shared" si="7"/>
        <v>0</v>
      </c>
    </row>
    <row r="36" spans="1:16" s="35" customFormat="1" ht="195" customHeight="1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42"/>
      <c r="F36" s="42"/>
      <c r="G36" s="40"/>
      <c r="H36" s="40"/>
      <c r="I36" s="40"/>
      <c r="J36" s="40"/>
      <c r="K36" s="40"/>
      <c r="L36" s="40"/>
      <c r="M36" s="40"/>
      <c r="N36" s="40"/>
      <c r="O36" s="40">
        <f t="shared" si="10"/>
        <v>0</v>
      </c>
      <c r="P36" s="41">
        <f t="shared" si="7"/>
        <v>0</v>
      </c>
    </row>
    <row r="37" spans="1:16" s="43" customFormat="1" ht="160" customHeight="1" x14ac:dyDescent="0.2">
      <c r="A37" s="9" t="s">
        <v>143</v>
      </c>
      <c r="B37" s="9" t="s">
        <v>152</v>
      </c>
      <c r="C37" s="10" t="s">
        <v>9</v>
      </c>
      <c r="D37" s="11">
        <v>6.6220000000000008</v>
      </c>
      <c r="E37" s="42"/>
      <c r="F37" s="40"/>
      <c r="G37" s="40"/>
      <c r="H37" s="40"/>
      <c r="I37" s="40"/>
      <c r="J37" s="40"/>
      <c r="K37" s="40"/>
      <c r="L37" s="40"/>
      <c r="M37" s="40"/>
      <c r="N37" s="40"/>
      <c r="O37" s="40">
        <f t="shared" si="10"/>
        <v>0</v>
      </c>
      <c r="P37" s="41">
        <f t="shared" si="7"/>
        <v>0</v>
      </c>
    </row>
    <row r="38" spans="1:16" s="35" customFormat="1" ht="160" customHeight="1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42"/>
      <c r="F38" s="40"/>
      <c r="G38" s="40"/>
      <c r="H38" s="40"/>
      <c r="I38" s="40"/>
      <c r="J38" s="40"/>
      <c r="K38" s="40"/>
      <c r="L38" s="40"/>
      <c r="M38" s="40"/>
      <c r="N38" s="40"/>
      <c r="O38" s="40">
        <f t="shared" si="10"/>
        <v>0</v>
      </c>
      <c r="P38" s="41">
        <f t="shared" si="7"/>
        <v>0</v>
      </c>
    </row>
    <row r="39" spans="1:16" s="35" customFormat="1" ht="188" customHeight="1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42"/>
      <c r="F39" s="40"/>
      <c r="G39" s="40"/>
      <c r="H39" s="40"/>
      <c r="I39" s="40"/>
      <c r="J39" s="40"/>
      <c r="K39" s="40"/>
      <c r="L39" s="40"/>
      <c r="M39" s="40"/>
      <c r="N39" s="40"/>
      <c r="O39" s="40">
        <f t="shared" si="10"/>
        <v>0</v>
      </c>
      <c r="P39" s="41">
        <f t="shared" si="7"/>
        <v>0</v>
      </c>
    </row>
    <row r="40" spans="1:16" s="35" customFormat="1" ht="170" customHeight="1" x14ac:dyDescent="0.2">
      <c r="A40" s="9" t="s">
        <v>117</v>
      </c>
      <c r="B40" s="9" t="s">
        <v>98</v>
      </c>
      <c r="C40" s="10" t="s">
        <v>9</v>
      </c>
      <c r="D40" s="11">
        <v>7.22</v>
      </c>
      <c r="E40" s="42"/>
      <c r="F40" s="40"/>
      <c r="G40" s="40"/>
      <c r="H40" s="40"/>
      <c r="I40" s="40"/>
      <c r="J40" s="40"/>
      <c r="K40" s="40"/>
      <c r="L40" s="40"/>
      <c r="M40" s="40"/>
      <c r="N40" s="40"/>
      <c r="O40" s="40">
        <f t="shared" si="10"/>
        <v>0</v>
      </c>
      <c r="P40" s="41">
        <f t="shared" si="7"/>
        <v>0</v>
      </c>
    </row>
    <row r="41" spans="1:16" s="35" customFormat="1" ht="170" customHeight="1" x14ac:dyDescent="0.2">
      <c r="A41" s="9" t="s">
        <v>11</v>
      </c>
      <c r="B41" s="9" t="s">
        <v>57</v>
      </c>
      <c r="C41" s="10" t="s">
        <v>9</v>
      </c>
      <c r="D41" s="11">
        <v>5.16</v>
      </c>
      <c r="E41" s="42"/>
      <c r="F41" s="40"/>
      <c r="G41" s="40"/>
      <c r="H41" s="40"/>
      <c r="I41" s="40"/>
      <c r="J41" s="40"/>
      <c r="K41" s="40"/>
      <c r="L41" s="40"/>
      <c r="M41" s="40"/>
      <c r="N41" s="40"/>
      <c r="O41" s="40">
        <f t="shared" si="10"/>
        <v>0</v>
      </c>
      <c r="P41" s="41">
        <f t="shared" si="7"/>
        <v>0</v>
      </c>
    </row>
    <row r="42" spans="1:16" s="35" customFormat="1" ht="136" customHeight="1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42"/>
      <c r="F42" s="42"/>
      <c r="G42" s="40"/>
      <c r="H42" s="40"/>
      <c r="I42" s="40"/>
      <c r="J42" s="40"/>
      <c r="K42" s="40"/>
      <c r="L42" s="40"/>
      <c r="M42" s="40"/>
      <c r="N42" s="40"/>
      <c r="O42" s="40">
        <f t="shared" si="10"/>
        <v>0</v>
      </c>
      <c r="P42" s="41">
        <f t="shared" si="7"/>
        <v>0</v>
      </c>
    </row>
    <row r="43" spans="1:16" s="35" customFormat="1" ht="142" customHeight="1" x14ac:dyDescent="0.2">
      <c r="A43" s="9" t="s">
        <v>115</v>
      </c>
      <c r="B43" s="9" t="s">
        <v>58</v>
      </c>
      <c r="C43" s="10" t="s">
        <v>9</v>
      </c>
      <c r="D43" s="11">
        <v>7.22</v>
      </c>
      <c r="E43" s="42"/>
      <c r="F43" s="42"/>
      <c r="G43" s="40"/>
      <c r="H43" s="40"/>
      <c r="I43" s="40"/>
      <c r="J43" s="40"/>
      <c r="K43" s="40"/>
      <c r="L43" s="40"/>
      <c r="M43" s="40"/>
      <c r="N43" s="40"/>
      <c r="O43" s="40">
        <f t="shared" si="10"/>
        <v>0</v>
      </c>
      <c r="P43" s="41">
        <f t="shared" si="7"/>
        <v>0</v>
      </c>
    </row>
    <row r="44" spans="1:16" s="35" customFormat="1" ht="136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42"/>
      <c r="F44" s="40"/>
      <c r="G44" s="40">
        <f>18*G3</f>
        <v>0</v>
      </c>
      <c r="H44" s="40">
        <f>18*H3</f>
        <v>0</v>
      </c>
      <c r="I44" s="40">
        <f>18*I3</f>
        <v>0</v>
      </c>
      <c r="J44" s="40"/>
      <c r="K44" s="40"/>
      <c r="L44" s="40"/>
      <c r="M44" s="40"/>
      <c r="N44" s="40"/>
      <c r="O44" s="40">
        <f t="shared" si="10"/>
        <v>0</v>
      </c>
      <c r="P44" s="41">
        <f t="shared" si="7"/>
        <v>0</v>
      </c>
    </row>
    <row r="45" spans="1:16" s="35" customFormat="1" ht="180" customHeight="1" x14ac:dyDescent="0.2">
      <c r="A45" s="9" t="s">
        <v>13</v>
      </c>
      <c r="B45" s="9" t="s">
        <v>60</v>
      </c>
      <c r="C45" s="10"/>
      <c r="D45" s="11">
        <v>0.73</v>
      </c>
      <c r="E45" s="42">
        <f>18*E3</f>
        <v>0</v>
      </c>
      <c r="F45" s="42">
        <f>18*F3</f>
        <v>0</v>
      </c>
      <c r="G45" s="40"/>
      <c r="H45" s="40"/>
      <c r="I45" s="40"/>
      <c r="J45" s="40">
        <f>18*J3</f>
        <v>0</v>
      </c>
      <c r="K45" s="40"/>
      <c r="L45" s="40"/>
      <c r="M45" s="40"/>
      <c r="N45" s="40"/>
      <c r="O45" s="40">
        <f t="shared" si="10"/>
        <v>0</v>
      </c>
      <c r="P45" s="41">
        <f t="shared" si="7"/>
        <v>0</v>
      </c>
    </row>
    <row r="46" spans="1:16" s="35" customFormat="1" ht="180" customHeight="1" x14ac:dyDescent="0.2">
      <c r="A46" s="9" t="s">
        <v>151</v>
      </c>
      <c r="B46" s="9" t="s">
        <v>134</v>
      </c>
      <c r="C46" s="10"/>
      <c r="D46" s="11">
        <v>0.73</v>
      </c>
      <c r="E46" s="42"/>
      <c r="F46" s="42"/>
      <c r="G46" s="40"/>
      <c r="H46" s="40"/>
      <c r="I46" s="40"/>
      <c r="J46" s="40"/>
      <c r="K46" s="40"/>
      <c r="L46" s="40"/>
      <c r="M46" s="40"/>
      <c r="N46" s="40"/>
      <c r="O46" s="40">
        <f t="shared" si="10"/>
        <v>0</v>
      </c>
      <c r="P46" s="41">
        <f t="shared" si="7"/>
        <v>0</v>
      </c>
    </row>
    <row r="47" spans="1:16" s="35" customFormat="1" ht="198" customHeight="1" x14ac:dyDescent="0.2">
      <c r="A47" s="14" t="s">
        <v>14</v>
      </c>
      <c r="B47" s="14" t="s">
        <v>61</v>
      </c>
      <c r="C47" s="10"/>
      <c r="D47" s="11">
        <v>1.8620000000000001</v>
      </c>
      <c r="E47" s="42"/>
      <c r="F47" s="42"/>
      <c r="G47" s="42"/>
      <c r="H47" s="40"/>
      <c r="I47" s="43"/>
      <c r="J47" s="43"/>
      <c r="K47" s="43"/>
      <c r="L47" s="43"/>
      <c r="M47" s="43"/>
      <c r="N47" s="43"/>
      <c r="O47" s="40">
        <f t="shared" si="10"/>
        <v>0</v>
      </c>
      <c r="P47" s="41">
        <f t="shared" si="7"/>
        <v>0</v>
      </c>
    </row>
    <row r="48" spans="1:16" s="35" customFormat="1" ht="128" customHeight="1" x14ac:dyDescent="0.2">
      <c r="A48" s="14" t="s">
        <v>15</v>
      </c>
      <c r="B48" s="14" t="s">
        <v>62</v>
      </c>
      <c r="C48" s="10"/>
      <c r="D48" s="11">
        <v>0.96600000000000008</v>
      </c>
      <c r="E48" s="42"/>
      <c r="F48" s="40"/>
      <c r="G48" s="40"/>
      <c r="H48" s="40"/>
      <c r="I48" s="40">
        <f>1*I3</f>
        <v>0</v>
      </c>
      <c r="J48" s="40">
        <f>1*J3</f>
        <v>0</v>
      </c>
      <c r="K48" s="40"/>
      <c r="L48" s="40"/>
      <c r="M48" s="40"/>
      <c r="N48" s="40"/>
      <c r="O48" s="40">
        <f t="shared" si="10"/>
        <v>0</v>
      </c>
      <c r="P48" s="41">
        <f t="shared" si="7"/>
        <v>0</v>
      </c>
    </row>
    <row r="49" spans="1:40" s="35" customFormat="1" ht="126" customHeight="1" x14ac:dyDescent="0.2">
      <c r="A49" s="14" t="s">
        <v>16</v>
      </c>
      <c r="B49" s="14" t="s">
        <v>63</v>
      </c>
      <c r="C49" s="10"/>
      <c r="D49" s="11">
        <v>0.83</v>
      </c>
      <c r="E49" s="42">
        <f>1*E3</f>
        <v>0</v>
      </c>
      <c r="F49" s="42">
        <f>1*F3</f>
        <v>0</v>
      </c>
      <c r="G49" s="42">
        <f>1*G3</f>
        <v>0</v>
      </c>
      <c r="H49" s="42">
        <f>1*H3</f>
        <v>0</v>
      </c>
      <c r="I49" s="40"/>
      <c r="J49" s="40"/>
      <c r="K49" s="40"/>
      <c r="L49" s="40"/>
      <c r="M49" s="40"/>
      <c r="N49" s="40"/>
      <c r="O49" s="40">
        <f t="shared" si="10"/>
        <v>0</v>
      </c>
      <c r="P49" s="41">
        <f t="shared" si="7"/>
        <v>0</v>
      </c>
    </row>
    <row r="50" spans="1:40" s="35" customFormat="1" ht="108" customHeight="1" x14ac:dyDescent="0.2">
      <c r="A50" s="14" t="s">
        <v>17</v>
      </c>
      <c r="B50" s="14" t="s">
        <v>64</v>
      </c>
      <c r="C50" s="10"/>
      <c r="D50" s="11">
        <v>10.497199999999999</v>
      </c>
      <c r="E50" s="42">
        <f>2*E3</f>
        <v>0</v>
      </c>
      <c r="F50" s="42">
        <f>1*F3</f>
        <v>0</v>
      </c>
      <c r="G50" s="42">
        <f>2*G3</f>
        <v>0</v>
      </c>
      <c r="H50" s="42">
        <f>1*H3</f>
        <v>0</v>
      </c>
      <c r="I50" s="40">
        <f>2*I3</f>
        <v>0</v>
      </c>
      <c r="J50" s="40">
        <f>2*J3</f>
        <v>0</v>
      </c>
      <c r="K50" s="40"/>
      <c r="L50" s="40"/>
      <c r="M50" s="40"/>
      <c r="N50" s="40"/>
      <c r="O50" s="40">
        <f t="shared" si="10"/>
        <v>0</v>
      </c>
      <c r="P50" s="41">
        <f t="shared" si="7"/>
        <v>0</v>
      </c>
    </row>
    <row r="51" spans="1:40" customFormat="1" ht="47" x14ac:dyDescent="0.2">
      <c r="A51" s="14" t="s">
        <v>174</v>
      </c>
      <c r="B51" s="14" t="s">
        <v>188</v>
      </c>
      <c r="C51" s="10"/>
      <c r="D51" s="11">
        <v>8.6295999999999999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40">
        <f t="shared" si="10"/>
        <v>0</v>
      </c>
      <c r="P51" s="41">
        <f t="shared" si="7"/>
        <v>0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</row>
    <row r="52" spans="1:40" customFormat="1" ht="47" x14ac:dyDescent="0.2">
      <c r="A52" s="14" t="s">
        <v>175</v>
      </c>
      <c r="B52" s="14" t="s">
        <v>189</v>
      </c>
      <c r="C52" s="10"/>
      <c r="D52" s="11">
        <v>6.78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40">
        <f t="shared" si="10"/>
        <v>0</v>
      </c>
      <c r="P52" s="41">
        <f t="shared" ref="P52:P83" si="11">D52*O52</f>
        <v>0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</row>
    <row r="53" spans="1:40" s="35" customFormat="1" ht="108" customHeight="1" x14ac:dyDescent="0.2">
      <c r="A53" s="14" t="s">
        <v>18</v>
      </c>
      <c r="B53" s="14" t="s">
        <v>65</v>
      </c>
      <c r="C53" s="10"/>
      <c r="D53" s="11">
        <v>6.78</v>
      </c>
      <c r="E53" s="42"/>
      <c r="F53" s="40"/>
      <c r="G53" s="40"/>
      <c r="H53" s="40"/>
      <c r="I53" s="40"/>
      <c r="J53" s="40"/>
      <c r="K53" s="40"/>
      <c r="L53" s="40"/>
      <c r="M53" s="40"/>
      <c r="N53" s="40"/>
      <c r="O53" s="40">
        <f t="shared" si="10"/>
        <v>0</v>
      </c>
      <c r="P53" s="41">
        <f t="shared" si="11"/>
        <v>0</v>
      </c>
    </row>
    <row r="54" spans="1:40" s="35" customFormat="1" ht="47" x14ac:dyDescent="0.2">
      <c r="A54" s="14" t="s">
        <v>19</v>
      </c>
      <c r="B54" s="14" t="s">
        <v>66</v>
      </c>
      <c r="C54" s="10"/>
      <c r="D54" s="11">
        <v>2.6661599999999996</v>
      </c>
      <c r="E54" s="42"/>
      <c r="F54" s="40"/>
      <c r="G54" s="40">
        <f>2*G3</f>
        <v>0</v>
      </c>
      <c r="H54" s="40">
        <f>1*H3</f>
        <v>0</v>
      </c>
      <c r="I54" s="40">
        <f>2*I3</f>
        <v>0</v>
      </c>
      <c r="J54" s="40"/>
      <c r="K54" s="40"/>
      <c r="L54" s="40"/>
      <c r="M54" s="40"/>
      <c r="N54" s="40"/>
      <c r="O54" s="40">
        <f t="shared" si="10"/>
        <v>0</v>
      </c>
      <c r="P54" s="41">
        <f t="shared" si="11"/>
        <v>0</v>
      </c>
    </row>
    <row r="55" spans="1:40" s="35" customFormat="1" ht="47" x14ac:dyDescent="0.2">
      <c r="A55" s="14" t="s">
        <v>20</v>
      </c>
      <c r="B55" s="14" t="s">
        <v>67</v>
      </c>
      <c r="C55" s="10"/>
      <c r="D55" s="11">
        <v>3.4389599999999998</v>
      </c>
      <c r="E55" s="42">
        <f>2*E3</f>
        <v>0</v>
      </c>
      <c r="F55" s="42">
        <f>1*F3</f>
        <v>0</v>
      </c>
      <c r="G55" s="42"/>
      <c r="H55" s="42"/>
      <c r="I55" s="40"/>
      <c r="J55" s="40">
        <f>2*J3</f>
        <v>0</v>
      </c>
      <c r="K55" s="40"/>
      <c r="L55" s="40"/>
      <c r="M55" s="40"/>
      <c r="N55" s="40"/>
      <c r="O55" s="40">
        <f t="shared" si="10"/>
        <v>0</v>
      </c>
      <c r="P55" s="41">
        <f t="shared" si="11"/>
        <v>0</v>
      </c>
    </row>
    <row r="56" spans="1:40" s="35" customFormat="1" ht="47" x14ac:dyDescent="0.2">
      <c r="A56" s="14" t="s">
        <v>21</v>
      </c>
      <c r="B56" s="14" t="s">
        <v>131</v>
      </c>
      <c r="C56" s="10"/>
      <c r="D56" s="11">
        <v>3.4389599999999998</v>
      </c>
      <c r="E56" s="42"/>
      <c r="F56" s="42"/>
      <c r="G56" s="42"/>
      <c r="H56" s="42"/>
      <c r="I56" s="40"/>
      <c r="J56" s="40"/>
      <c r="K56" s="40"/>
      <c r="L56" s="40"/>
      <c r="M56" s="40"/>
      <c r="N56" s="40"/>
      <c r="O56" s="40">
        <f t="shared" si="10"/>
        <v>0</v>
      </c>
      <c r="P56" s="41">
        <f t="shared" si="11"/>
        <v>0</v>
      </c>
    </row>
    <row r="57" spans="1:40" s="35" customFormat="1" ht="162" customHeight="1" x14ac:dyDescent="0.2">
      <c r="A57" s="14" t="s">
        <v>22</v>
      </c>
      <c r="B57" s="14" t="s">
        <v>70</v>
      </c>
      <c r="C57" s="10"/>
      <c r="D57" s="11">
        <v>0.15512465373961221</v>
      </c>
      <c r="E57" s="42">
        <f>2*E3</f>
        <v>0</v>
      </c>
      <c r="F57" s="42">
        <f>1*F3</f>
        <v>0</v>
      </c>
      <c r="G57" s="42">
        <f>2*G3</f>
        <v>0</v>
      </c>
      <c r="H57" s="42">
        <f>1*H3</f>
        <v>0</v>
      </c>
      <c r="I57" s="40">
        <f>2*I3</f>
        <v>0</v>
      </c>
      <c r="J57" s="40">
        <f>2*J3</f>
        <v>0</v>
      </c>
      <c r="K57" s="40"/>
      <c r="L57" s="40"/>
      <c r="M57" s="40"/>
      <c r="N57" s="40"/>
      <c r="O57" s="40">
        <f t="shared" si="10"/>
        <v>0</v>
      </c>
      <c r="P57" s="41">
        <f t="shared" si="11"/>
        <v>0</v>
      </c>
    </row>
    <row r="58" spans="1:40" s="35" customFormat="1" ht="164" customHeight="1" x14ac:dyDescent="0.2">
      <c r="A58" s="14" t="s">
        <v>23</v>
      </c>
      <c r="B58" s="14" t="s">
        <v>69</v>
      </c>
      <c r="C58" s="10"/>
      <c r="D58" s="11">
        <v>0.27922437673130196</v>
      </c>
      <c r="E58" s="42">
        <f>2*E3</f>
        <v>0</v>
      </c>
      <c r="F58" s="42">
        <f>1*F3</f>
        <v>0</v>
      </c>
      <c r="G58" s="42">
        <f>2*G3</f>
        <v>0</v>
      </c>
      <c r="H58" s="42">
        <f>1*H3</f>
        <v>0</v>
      </c>
      <c r="I58" s="40">
        <f>2*I3</f>
        <v>0</v>
      </c>
      <c r="J58" s="40">
        <f>2*J3</f>
        <v>0</v>
      </c>
      <c r="K58" s="40"/>
      <c r="L58" s="40"/>
      <c r="M58" s="40"/>
      <c r="N58" s="40"/>
      <c r="O58" s="40">
        <f t="shared" si="10"/>
        <v>0</v>
      </c>
      <c r="P58" s="41">
        <f t="shared" si="11"/>
        <v>0</v>
      </c>
    </row>
    <row r="59" spans="1:40" s="35" customFormat="1" ht="174" customHeight="1" x14ac:dyDescent="0.2">
      <c r="A59" s="14" t="s">
        <v>24</v>
      </c>
      <c r="B59" s="14" t="s">
        <v>68</v>
      </c>
      <c r="C59" s="10"/>
      <c r="D59" s="11">
        <v>0.12409972299168978</v>
      </c>
      <c r="E59" s="42">
        <f>2*E3</f>
        <v>0</v>
      </c>
      <c r="F59" s="42">
        <f>1*F3</f>
        <v>0</v>
      </c>
      <c r="G59" s="42">
        <f>2*G3</f>
        <v>0</v>
      </c>
      <c r="H59" s="42">
        <f>1*H3</f>
        <v>0</v>
      </c>
      <c r="I59" s="40">
        <f>2*I3</f>
        <v>0</v>
      </c>
      <c r="J59" s="40">
        <f>2*J3</f>
        <v>0</v>
      </c>
      <c r="K59" s="40"/>
      <c r="L59" s="40"/>
      <c r="M59" s="40"/>
      <c r="N59" s="40"/>
      <c r="O59" s="40">
        <f t="shared" si="10"/>
        <v>0</v>
      </c>
      <c r="P59" s="41">
        <f t="shared" si="11"/>
        <v>0</v>
      </c>
    </row>
    <row r="60" spans="1:40" s="35" customFormat="1" ht="152" customHeight="1" x14ac:dyDescent="0.2">
      <c r="A60" s="14" t="s">
        <v>25</v>
      </c>
      <c r="B60" s="14" t="s">
        <v>71</v>
      </c>
      <c r="C60" s="10"/>
      <c r="D60" s="11">
        <v>3.1024930747922445E-2</v>
      </c>
      <c r="E60" s="42">
        <f>2*E3</f>
        <v>0</v>
      </c>
      <c r="F60" s="42">
        <f>1*F3</f>
        <v>0</v>
      </c>
      <c r="G60" s="42">
        <f>2*G3</f>
        <v>0</v>
      </c>
      <c r="H60" s="42">
        <f>1*H3</f>
        <v>0</v>
      </c>
      <c r="I60" s="40">
        <f>2*I3</f>
        <v>0</v>
      </c>
      <c r="J60" s="40">
        <f>2*J3</f>
        <v>0</v>
      </c>
      <c r="K60" s="40"/>
      <c r="L60" s="40"/>
      <c r="M60" s="40"/>
      <c r="N60" s="40"/>
      <c r="O60" s="40">
        <f t="shared" si="10"/>
        <v>0</v>
      </c>
      <c r="P60" s="41">
        <f t="shared" si="11"/>
        <v>0</v>
      </c>
    </row>
    <row r="61" spans="1:40" s="35" customFormat="1" ht="128" customHeight="1" x14ac:dyDescent="0.2">
      <c r="A61" s="14" t="s">
        <v>26</v>
      </c>
      <c r="B61" s="14" t="s">
        <v>72</v>
      </c>
      <c r="C61" s="10"/>
      <c r="D61" s="11">
        <v>3.49</v>
      </c>
      <c r="E61" s="42"/>
      <c r="F61" s="40"/>
      <c r="G61" s="40"/>
      <c r="H61" s="40"/>
      <c r="I61" s="40"/>
      <c r="J61" s="40"/>
      <c r="K61" s="40"/>
      <c r="L61" s="40"/>
      <c r="M61" s="40"/>
      <c r="N61" s="40"/>
      <c r="O61" s="40">
        <f t="shared" si="10"/>
        <v>0</v>
      </c>
      <c r="P61" s="41">
        <f t="shared" si="11"/>
        <v>0</v>
      </c>
    </row>
    <row r="62" spans="1:40" s="35" customFormat="1" ht="289" customHeight="1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42"/>
      <c r="F62" s="40"/>
      <c r="G62" s="40"/>
      <c r="H62" s="40"/>
      <c r="I62" s="40"/>
      <c r="J62" s="40"/>
      <c r="K62" s="40"/>
      <c r="L62" s="40"/>
      <c r="M62" s="40"/>
      <c r="N62" s="40"/>
      <c r="O62" s="40">
        <f t="shared" si="10"/>
        <v>0</v>
      </c>
      <c r="P62" s="41">
        <f t="shared" si="11"/>
        <v>0</v>
      </c>
    </row>
    <row r="63" spans="1:40" s="35" customFormat="1" ht="273" customHeight="1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42"/>
      <c r="F63" s="40"/>
      <c r="G63" s="40"/>
      <c r="H63" s="40"/>
      <c r="I63" s="40"/>
      <c r="J63" s="40"/>
      <c r="K63" s="40"/>
      <c r="L63" s="40"/>
      <c r="M63" s="40"/>
      <c r="N63" s="40"/>
      <c r="O63" s="40">
        <f t="shared" si="10"/>
        <v>0</v>
      </c>
      <c r="P63" s="41">
        <f t="shared" si="11"/>
        <v>0</v>
      </c>
    </row>
    <row r="64" spans="1:40" s="35" customFormat="1" ht="126" customHeight="1" x14ac:dyDescent="0.2">
      <c r="A64" s="14" t="s">
        <v>29</v>
      </c>
      <c r="B64" s="14" t="s">
        <v>75</v>
      </c>
      <c r="C64" s="10"/>
      <c r="D64" s="11">
        <v>1.1399999999999999</v>
      </c>
      <c r="E64" s="42">
        <f>2*E3</f>
        <v>0</v>
      </c>
      <c r="F64" s="42">
        <f>1*F3</f>
        <v>0</v>
      </c>
      <c r="G64" s="42">
        <f>2*G3</f>
        <v>0</v>
      </c>
      <c r="H64" s="42">
        <f>1*H3</f>
        <v>0</v>
      </c>
      <c r="I64" s="40">
        <f>2*I3</f>
        <v>0</v>
      </c>
      <c r="J64" s="40">
        <f>2*J3</f>
        <v>0</v>
      </c>
      <c r="K64" s="40"/>
      <c r="L64" s="40"/>
      <c r="M64" s="40"/>
      <c r="N64" s="40"/>
      <c r="O64" s="40">
        <f t="shared" si="10"/>
        <v>0</v>
      </c>
      <c r="P64" s="41">
        <f t="shared" si="11"/>
        <v>0</v>
      </c>
    </row>
    <row r="65" spans="1:40" s="35" customFormat="1" ht="94" customHeight="1" x14ac:dyDescent="0.2">
      <c r="A65" s="14" t="s">
        <v>30</v>
      </c>
      <c r="B65" s="14" t="s">
        <v>76</v>
      </c>
      <c r="C65" s="10"/>
      <c r="D65" s="11">
        <v>1.22</v>
      </c>
      <c r="E65" s="42"/>
      <c r="F65" s="40"/>
      <c r="G65" s="40"/>
      <c r="H65" s="40"/>
      <c r="I65" s="40"/>
      <c r="J65" s="40"/>
      <c r="K65" s="40"/>
      <c r="L65" s="40"/>
      <c r="M65" s="40"/>
      <c r="N65" s="40"/>
      <c r="O65" s="40">
        <f t="shared" si="10"/>
        <v>0</v>
      </c>
      <c r="P65" s="41">
        <f t="shared" si="11"/>
        <v>0</v>
      </c>
    </row>
    <row r="66" spans="1:40" s="35" customFormat="1" ht="151" customHeight="1" x14ac:dyDescent="0.2">
      <c r="A66" s="14" t="s">
        <v>31</v>
      </c>
      <c r="B66" s="14" t="s">
        <v>187</v>
      </c>
      <c r="C66" s="10"/>
      <c r="D66" s="11">
        <v>2.15</v>
      </c>
      <c r="E66" s="42"/>
      <c r="F66" s="40"/>
      <c r="G66" s="40"/>
      <c r="H66" s="40"/>
      <c r="I66" s="40"/>
      <c r="J66" s="40"/>
      <c r="K66" s="40"/>
      <c r="L66" s="40"/>
      <c r="M66" s="40"/>
      <c r="N66" s="40"/>
      <c r="O66" s="40">
        <f t="shared" si="10"/>
        <v>0</v>
      </c>
      <c r="P66" s="41">
        <f t="shared" si="11"/>
        <v>0</v>
      </c>
    </row>
    <row r="67" spans="1:40" s="35" customFormat="1" ht="191" customHeight="1" x14ac:dyDescent="0.2">
      <c r="A67" s="14" t="s">
        <v>32</v>
      </c>
      <c r="B67" s="14" t="s">
        <v>77</v>
      </c>
      <c r="C67" s="10"/>
      <c r="D67" s="11">
        <v>5.5579999999999998</v>
      </c>
      <c r="E67" s="42">
        <f>1*E3</f>
        <v>0</v>
      </c>
      <c r="F67" s="42"/>
      <c r="G67" s="42">
        <f>1*G3</f>
        <v>0</v>
      </c>
      <c r="H67" s="40"/>
      <c r="I67" s="40">
        <f>1*I3</f>
        <v>0</v>
      </c>
      <c r="J67" s="40">
        <f>1*J3</f>
        <v>0</v>
      </c>
      <c r="K67" s="40"/>
      <c r="L67" s="40"/>
      <c r="M67" s="40"/>
      <c r="N67" s="40"/>
      <c r="O67" s="40">
        <f t="shared" si="10"/>
        <v>0</v>
      </c>
      <c r="P67" s="41">
        <f t="shared" si="11"/>
        <v>0</v>
      </c>
    </row>
    <row r="68" spans="1:40" s="35" customFormat="1" ht="184" customHeight="1" x14ac:dyDescent="0.2">
      <c r="A68" s="14" t="s">
        <v>33</v>
      </c>
      <c r="B68" s="14" t="s">
        <v>78</v>
      </c>
      <c r="C68" s="10"/>
      <c r="D68" s="11">
        <v>5.5579999999999998</v>
      </c>
      <c r="E68" s="42">
        <f>1*E3</f>
        <v>0</v>
      </c>
      <c r="F68" s="42"/>
      <c r="G68" s="42">
        <f>1*G3</f>
        <v>0</v>
      </c>
      <c r="H68" s="40"/>
      <c r="I68" s="40">
        <f>1*I3</f>
        <v>0</v>
      </c>
      <c r="J68" s="40">
        <f>1*J3</f>
        <v>0</v>
      </c>
      <c r="K68" s="40"/>
      <c r="L68" s="40"/>
      <c r="M68" s="40"/>
      <c r="N68" s="40"/>
      <c r="O68" s="40">
        <f t="shared" si="10"/>
        <v>0</v>
      </c>
      <c r="P68" s="41">
        <f t="shared" si="11"/>
        <v>0</v>
      </c>
    </row>
    <row r="69" spans="1:40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40">
        <f t="shared" si="10"/>
        <v>0</v>
      </c>
      <c r="P69" s="41">
        <f t="shared" si="11"/>
        <v>0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spans="1:40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40">
        <f t="shared" si="10"/>
        <v>0</v>
      </c>
      <c r="P70" s="41">
        <f t="shared" si="11"/>
        <v>0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spans="1:40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40">
        <f t="shared" si="10"/>
        <v>0</v>
      </c>
      <c r="P71" s="41">
        <f t="shared" si="11"/>
        <v>0</v>
      </c>
    </row>
    <row r="72" spans="1:40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40">
        <f t="shared" si="10"/>
        <v>0</v>
      </c>
      <c r="P72" s="41">
        <f t="shared" si="11"/>
        <v>0</v>
      </c>
    </row>
    <row r="73" spans="1:40" s="35" customFormat="1" ht="209" customHeight="1" x14ac:dyDescent="0.2">
      <c r="A73" s="14" t="s">
        <v>34</v>
      </c>
      <c r="B73" s="14" t="s">
        <v>79</v>
      </c>
      <c r="C73" s="10"/>
      <c r="D73" s="11">
        <v>3.3879999999999999</v>
      </c>
      <c r="E73" s="42"/>
      <c r="F73" s="40"/>
      <c r="G73" s="40"/>
      <c r="H73" s="40"/>
      <c r="I73" s="40"/>
      <c r="J73" s="40"/>
      <c r="K73" s="40"/>
      <c r="L73" s="40"/>
      <c r="M73" s="40"/>
      <c r="N73" s="40"/>
      <c r="O73" s="40">
        <f t="shared" si="10"/>
        <v>0</v>
      </c>
      <c r="P73" s="41">
        <f t="shared" si="11"/>
        <v>0</v>
      </c>
    </row>
    <row r="74" spans="1:40" s="35" customFormat="1" ht="187" customHeight="1" x14ac:dyDescent="0.2">
      <c r="A74" s="14" t="s">
        <v>35</v>
      </c>
      <c r="B74" s="14" t="s">
        <v>80</v>
      </c>
      <c r="C74" s="10"/>
      <c r="D74" s="11">
        <v>3.3879999999999999</v>
      </c>
      <c r="E74" s="42"/>
      <c r="F74" s="40"/>
      <c r="G74" s="40"/>
      <c r="H74" s="40"/>
      <c r="I74" s="40"/>
      <c r="J74" s="40"/>
      <c r="K74" s="40"/>
      <c r="L74" s="40"/>
      <c r="M74" s="40"/>
      <c r="N74" s="40"/>
      <c r="O74" s="40">
        <f t="shared" si="10"/>
        <v>0</v>
      </c>
      <c r="P74" s="41">
        <f t="shared" si="11"/>
        <v>0</v>
      </c>
    </row>
    <row r="75" spans="1:40" s="35" customFormat="1" ht="157" customHeight="1" x14ac:dyDescent="0.2">
      <c r="A75" s="14" t="s">
        <v>36</v>
      </c>
      <c r="B75" s="14" t="s">
        <v>81</v>
      </c>
      <c r="C75" s="10"/>
      <c r="D75" s="11">
        <v>2.1280000000000001</v>
      </c>
      <c r="E75" s="42"/>
      <c r="F75" s="40"/>
      <c r="G75" s="40"/>
      <c r="H75" s="40"/>
      <c r="I75" s="40"/>
      <c r="J75" s="40"/>
      <c r="K75" s="40"/>
      <c r="L75" s="40"/>
      <c r="M75" s="40"/>
      <c r="N75" s="40"/>
      <c r="O75" s="40">
        <f t="shared" ref="O75:O90" si="12">SUM(E75:J75)</f>
        <v>0</v>
      </c>
      <c r="P75" s="41">
        <f t="shared" si="11"/>
        <v>0</v>
      </c>
    </row>
    <row r="76" spans="1:40" s="35" customFormat="1" ht="165" customHeight="1" x14ac:dyDescent="0.2">
      <c r="A76" s="14" t="s">
        <v>37</v>
      </c>
      <c r="B76" s="14" t="s">
        <v>82</v>
      </c>
      <c r="C76" s="10"/>
      <c r="D76" s="11">
        <v>2.702</v>
      </c>
      <c r="E76" s="42"/>
      <c r="F76" s="40"/>
      <c r="G76" s="40"/>
      <c r="H76" s="40"/>
      <c r="I76" s="40"/>
      <c r="J76" s="40"/>
      <c r="K76" s="40"/>
      <c r="L76" s="40"/>
      <c r="M76" s="40"/>
      <c r="N76" s="40"/>
      <c r="O76" s="40">
        <f t="shared" si="12"/>
        <v>0</v>
      </c>
      <c r="P76" s="41">
        <f t="shared" si="11"/>
        <v>0</v>
      </c>
    </row>
    <row r="77" spans="1:40" s="35" customFormat="1" ht="160" customHeight="1" x14ac:dyDescent="0.2">
      <c r="A77" s="14" t="s">
        <v>38</v>
      </c>
      <c r="B77" s="14" t="s">
        <v>83</v>
      </c>
      <c r="C77" s="10"/>
      <c r="D77" s="11">
        <v>0.68599999999999994</v>
      </c>
      <c r="E77" s="42"/>
      <c r="F77" s="40"/>
      <c r="G77" s="40">
        <f>1*G3</f>
        <v>0</v>
      </c>
      <c r="H77" s="40"/>
      <c r="I77" s="40">
        <f>1*I3</f>
        <v>0</v>
      </c>
      <c r="J77" s="40"/>
      <c r="K77" s="40"/>
      <c r="L77" s="40"/>
      <c r="M77" s="40"/>
      <c r="N77" s="40"/>
      <c r="O77" s="40">
        <f t="shared" si="12"/>
        <v>0</v>
      </c>
      <c r="P77" s="41">
        <f t="shared" si="11"/>
        <v>0</v>
      </c>
    </row>
    <row r="78" spans="1:40" s="35" customFormat="1" ht="149" customHeight="1" x14ac:dyDescent="0.2">
      <c r="A78" s="14" t="s">
        <v>39</v>
      </c>
      <c r="B78" s="14" t="s">
        <v>84</v>
      </c>
      <c r="C78" s="10"/>
      <c r="D78" s="11">
        <v>0.68599999999999994</v>
      </c>
      <c r="E78" s="42"/>
      <c r="F78" s="40"/>
      <c r="G78" s="40">
        <f>1*G3</f>
        <v>0</v>
      </c>
      <c r="H78" s="40"/>
      <c r="I78" s="40">
        <f>1*I3</f>
        <v>0</v>
      </c>
      <c r="J78" s="40"/>
      <c r="K78" s="40"/>
      <c r="L78" s="40"/>
      <c r="M78" s="40"/>
      <c r="N78" s="40"/>
      <c r="O78" s="40">
        <f t="shared" si="12"/>
        <v>0</v>
      </c>
      <c r="P78" s="41">
        <f t="shared" si="11"/>
        <v>0</v>
      </c>
    </row>
    <row r="79" spans="1:40" s="35" customFormat="1" ht="161" customHeight="1" x14ac:dyDescent="0.2">
      <c r="A79" s="14" t="s">
        <v>40</v>
      </c>
      <c r="B79" s="14" t="s">
        <v>85</v>
      </c>
      <c r="C79" s="10"/>
      <c r="D79" s="11">
        <v>0.98</v>
      </c>
      <c r="E79" s="42">
        <f>1*E3</f>
        <v>0</v>
      </c>
      <c r="F79" s="40"/>
      <c r="G79" s="40"/>
      <c r="H79" s="40"/>
      <c r="I79" s="40"/>
      <c r="J79" s="40">
        <f>1*J3</f>
        <v>0</v>
      </c>
      <c r="K79" s="40"/>
      <c r="L79" s="40"/>
      <c r="M79" s="40"/>
      <c r="N79" s="40"/>
      <c r="O79" s="40">
        <f t="shared" si="12"/>
        <v>0</v>
      </c>
      <c r="P79" s="41">
        <f t="shared" si="11"/>
        <v>0</v>
      </c>
    </row>
    <row r="80" spans="1:40" s="35" customFormat="1" ht="141" customHeight="1" x14ac:dyDescent="0.2">
      <c r="A80" s="14" t="s">
        <v>41</v>
      </c>
      <c r="B80" s="14" t="s">
        <v>254</v>
      </c>
      <c r="C80" s="10"/>
      <c r="D80" s="11">
        <v>0.98</v>
      </c>
      <c r="E80" s="42">
        <f>1*E3</f>
        <v>0</v>
      </c>
      <c r="F80" s="40"/>
      <c r="G80" s="40"/>
      <c r="H80" s="40"/>
      <c r="I80" s="40"/>
      <c r="J80" s="40">
        <f>1*J3</f>
        <v>0</v>
      </c>
      <c r="K80" s="40"/>
      <c r="L80" s="40"/>
      <c r="M80" s="40"/>
      <c r="N80" s="40"/>
      <c r="O80" s="40">
        <f t="shared" si="12"/>
        <v>0</v>
      </c>
      <c r="P80" s="41">
        <f t="shared" si="11"/>
        <v>0</v>
      </c>
    </row>
    <row r="81" spans="1:40" s="35" customFormat="1" ht="132" customHeight="1" x14ac:dyDescent="0.2">
      <c r="A81" s="14" t="s">
        <v>136</v>
      </c>
      <c r="B81" s="14" t="s">
        <v>132</v>
      </c>
      <c r="C81" s="10"/>
      <c r="D81" s="11">
        <v>0.98</v>
      </c>
      <c r="E81" s="42"/>
      <c r="F81" s="40"/>
      <c r="G81" s="40"/>
      <c r="H81" s="40"/>
      <c r="I81" s="40"/>
      <c r="J81" s="40"/>
      <c r="K81" s="40"/>
      <c r="L81" s="40"/>
      <c r="M81" s="40"/>
      <c r="N81" s="40"/>
      <c r="O81" s="40">
        <f t="shared" si="12"/>
        <v>0</v>
      </c>
      <c r="P81" s="41">
        <f t="shared" si="11"/>
        <v>0</v>
      </c>
    </row>
    <row r="82" spans="1:40" s="35" customFormat="1" ht="141" customHeight="1" x14ac:dyDescent="0.2">
      <c r="A82" s="14" t="s">
        <v>137</v>
      </c>
      <c r="B82" s="14" t="s">
        <v>255</v>
      </c>
      <c r="C82" s="10"/>
      <c r="D82" s="11">
        <v>0.98</v>
      </c>
      <c r="E82" s="42"/>
      <c r="F82" s="40"/>
      <c r="G82" s="40"/>
      <c r="H82" s="40"/>
      <c r="I82" s="40"/>
      <c r="J82" s="40"/>
      <c r="K82" s="40"/>
      <c r="L82" s="40"/>
      <c r="M82" s="40"/>
      <c r="N82" s="40"/>
      <c r="O82" s="40">
        <f t="shared" si="12"/>
        <v>0</v>
      </c>
      <c r="P82" s="41">
        <f t="shared" si="11"/>
        <v>0</v>
      </c>
    </row>
    <row r="83" spans="1:40" customFormat="1" ht="128" x14ac:dyDescent="0.2">
      <c r="A83" s="10" t="s">
        <v>154</v>
      </c>
      <c r="B83" s="10" t="s">
        <v>155</v>
      </c>
      <c r="C83" s="10"/>
      <c r="D83" s="11">
        <v>19.137999999999998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40">
        <f t="shared" si="12"/>
        <v>0</v>
      </c>
      <c r="P83" s="25">
        <f t="shared" si="11"/>
        <v>0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spans="1:40" customFormat="1" ht="320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40">
        <f t="shared" si="12"/>
        <v>0</v>
      </c>
      <c r="P84" s="25">
        <f t="shared" ref="P84:P90" si="13">D84*O84</f>
        <v>0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spans="1:40" customFormat="1" ht="320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40">
        <f t="shared" si="12"/>
        <v>0</v>
      </c>
      <c r="P85" s="25">
        <f t="shared" si="13"/>
        <v>0</v>
      </c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spans="1:40" customFormat="1" ht="320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40">
        <f t="shared" si="12"/>
        <v>0</v>
      </c>
      <c r="P86" s="25">
        <f t="shared" si="13"/>
        <v>0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spans="1:40" customFormat="1" ht="160" x14ac:dyDescent="0.2">
      <c r="A87" s="14" t="s">
        <v>180</v>
      </c>
      <c r="B87" s="10" t="s">
        <v>181</v>
      </c>
      <c r="C87" s="10"/>
      <c r="D87" s="11">
        <v>0.75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40">
        <f t="shared" si="12"/>
        <v>0</v>
      </c>
      <c r="P87" s="25">
        <f t="shared" si="13"/>
        <v>0</v>
      </c>
    </row>
    <row r="88" spans="1:40" customFormat="1" ht="160" x14ac:dyDescent="0.2">
      <c r="A88" s="14" t="s">
        <v>182</v>
      </c>
      <c r="B88" s="10" t="s">
        <v>183</v>
      </c>
      <c r="C88" s="10"/>
      <c r="D88" s="11">
        <v>0.75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40">
        <f t="shared" si="12"/>
        <v>0</v>
      </c>
      <c r="P88" s="25">
        <f t="shared" si="13"/>
        <v>0</v>
      </c>
    </row>
    <row r="89" spans="1:40" customFormat="1" ht="160" x14ac:dyDescent="0.2">
      <c r="A89" s="14" t="s">
        <v>184</v>
      </c>
      <c r="B89" s="10" t="s">
        <v>185</v>
      </c>
      <c r="C89" s="10"/>
      <c r="D89" s="11">
        <v>0.75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40">
        <f t="shared" si="12"/>
        <v>0</v>
      </c>
      <c r="P89" s="25">
        <f t="shared" si="13"/>
        <v>0</v>
      </c>
    </row>
    <row r="90" spans="1:40" customFormat="1" ht="128" x14ac:dyDescent="0.2">
      <c r="A90" s="14" t="s">
        <v>186</v>
      </c>
      <c r="B90" s="14" t="s">
        <v>256</v>
      </c>
      <c r="C90" s="10"/>
      <c r="D90" s="11">
        <v>0.75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40">
        <f t="shared" si="12"/>
        <v>0</v>
      </c>
      <c r="P90" s="25">
        <f t="shared" si="13"/>
        <v>0</v>
      </c>
    </row>
    <row r="91" spans="1:40" s="39" customFormat="1" ht="47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5"/>
    </row>
    <row r="92" spans="1:40" s="35" customFormat="1" ht="47" x14ac:dyDescent="0.2">
      <c r="O92" s="44" t="s">
        <v>114</v>
      </c>
      <c r="P92" s="46">
        <f>SUM(P4:P82)</f>
        <v>0</v>
      </c>
    </row>
  </sheetData>
  <printOptions headings="1" gridLines="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6783-AA66-3C49-B0F2-BB631EA04792}">
  <dimension ref="A1:AO93"/>
  <sheetViews>
    <sheetView zoomScale="60" zoomScaleNormal="75" workbookViewId="0">
      <selection activeCell="G77" sqref="G77"/>
    </sheetView>
  </sheetViews>
  <sheetFormatPr baseColWidth="10" defaultRowHeight="16" x14ac:dyDescent="0.2"/>
  <cols>
    <col min="1" max="1" width="60" customWidth="1"/>
    <col min="2" max="2" width="53.33203125" customWidth="1"/>
    <col min="3" max="3" width="66" customWidth="1"/>
    <col min="4" max="4" width="60.6640625" customWidth="1"/>
    <col min="5" max="5" width="53.6640625" customWidth="1"/>
    <col min="6" max="6" width="55.33203125" customWidth="1"/>
    <col min="7" max="7" width="34" customWidth="1"/>
    <col min="8" max="8" width="4.83203125" customWidth="1"/>
    <col min="9" max="9" width="4.33203125" customWidth="1"/>
    <col min="10" max="10" width="4" customWidth="1"/>
    <col min="11" max="11" width="3.83203125" customWidth="1"/>
    <col min="12" max="12" width="3.5" customWidth="1"/>
    <col min="13" max="13" width="4.33203125" customWidth="1"/>
    <col min="14" max="14" width="5.83203125" customWidth="1"/>
    <col min="15" max="15" width="24" customWidth="1"/>
    <col min="16" max="16" width="21.1640625" customWidth="1"/>
    <col min="17" max="17" width="20.1640625" customWidth="1"/>
  </cols>
  <sheetData>
    <row r="1" spans="1:16" s="6" customFormat="1" ht="321" customHeight="1" x14ac:dyDescent="0.55000000000000004">
      <c r="A1" s="2" t="s">
        <v>88</v>
      </c>
      <c r="B1" s="2" t="s">
        <v>89</v>
      </c>
      <c r="C1" s="3" t="s">
        <v>86</v>
      </c>
      <c r="D1" s="3" t="s">
        <v>87</v>
      </c>
      <c r="E1" s="4" t="s">
        <v>138</v>
      </c>
      <c r="F1" s="4" t="s">
        <v>139</v>
      </c>
      <c r="G1" s="4" t="s">
        <v>140</v>
      </c>
      <c r="H1" s="4"/>
      <c r="I1" s="4"/>
      <c r="J1" s="4"/>
      <c r="K1" s="4"/>
      <c r="L1" s="4"/>
      <c r="M1" s="4"/>
      <c r="N1" s="4"/>
      <c r="O1" s="5"/>
      <c r="P1" s="1"/>
    </row>
    <row r="2" spans="1:16" s="73" customFormat="1" ht="321" customHeight="1" x14ac:dyDescent="0.2">
      <c r="A2" s="67"/>
      <c r="B2" s="67"/>
      <c r="C2" s="68"/>
      <c r="D2" s="69" t="s">
        <v>127</v>
      </c>
      <c r="E2" s="70">
        <v>0</v>
      </c>
      <c r="F2" s="70">
        <v>0</v>
      </c>
      <c r="G2" s="70">
        <v>0</v>
      </c>
      <c r="H2" s="70"/>
      <c r="I2" s="70"/>
      <c r="J2" s="70"/>
      <c r="K2" s="70"/>
      <c r="L2" s="70"/>
      <c r="M2" s="70"/>
      <c r="N2" s="70"/>
      <c r="O2" s="71"/>
      <c r="P2" s="72"/>
    </row>
    <row r="3" spans="1:16" s="74" customFormat="1" ht="83" customHeight="1" x14ac:dyDescent="0.2">
      <c r="A3" s="2"/>
      <c r="B3" s="2"/>
      <c r="C3" s="3"/>
      <c r="D3" s="3" t="s">
        <v>126</v>
      </c>
      <c r="E3" s="7">
        <v>0</v>
      </c>
      <c r="F3" s="7">
        <v>0</v>
      </c>
      <c r="G3" s="7">
        <v>0</v>
      </c>
      <c r="H3" s="7"/>
      <c r="I3" s="7"/>
      <c r="J3" s="7"/>
      <c r="K3" s="7"/>
      <c r="L3" s="7"/>
      <c r="M3" s="7"/>
      <c r="N3" s="7"/>
      <c r="O3" s="7" t="s">
        <v>114</v>
      </c>
      <c r="P3" s="24" t="s">
        <v>118</v>
      </c>
    </row>
    <row r="4" spans="1:16" s="6" customFormat="1" ht="64" x14ac:dyDescent="0.55000000000000004">
      <c r="A4" s="9" t="s">
        <v>108</v>
      </c>
      <c r="B4" s="9" t="s">
        <v>42</v>
      </c>
      <c r="C4" s="10"/>
      <c r="D4" s="11">
        <v>3.2071200000000002</v>
      </c>
      <c r="E4" s="5"/>
      <c r="F4" s="5"/>
      <c r="G4" s="5"/>
      <c r="H4" s="5"/>
      <c r="I4" s="5"/>
      <c r="J4" s="5"/>
      <c r="K4" s="5"/>
      <c r="L4" s="5"/>
      <c r="M4" s="5"/>
      <c r="N4" s="5"/>
      <c r="O4" s="5">
        <f t="shared" ref="O4:O12" si="0">SUM(E4:G4)</f>
        <v>0</v>
      </c>
      <c r="P4" s="12">
        <f t="shared" ref="P4:P18" si="1">D4*O4</f>
        <v>0</v>
      </c>
    </row>
    <row r="5" spans="1:16" s="6" customFormat="1" ht="64" x14ac:dyDescent="0.55000000000000004">
      <c r="A5" s="9" t="s">
        <v>109</v>
      </c>
      <c r="B5" s="9" t="s">
        <v>43</v>
      </c>
      <c r="C5" s="10"/>
      <c r="D5" s="11">
        <v>4.1087199999999999</v>
      </c>
      <c r="E5" s="5"/>
      <c r="F5" s="5"/>
      <c r="G5" s="5"/>
      <c r="H5" s="5"/>
      <c r="I5" s="5"/>
      <c r="J5" s="5"/>
      <c r="K5" s="5"/>
      <c r="L5" s="5"/>
      <c r="M5" s="5"/>
      <c r="N5" s="5"/>
      <c r="O5" s="5">
        <f t="shared" si="0"/>
        <v>0</v>
      </c>
      <c r="P5" s="12">
        <f t="shared" si="1"/>
        <v>0</v>
      </c>
    </row>
    <row r="6" spans="1:16" s="6" customFormat="1" ht="64" x14ac:dyDescent="0.55000000000000004">
      <c r="A6" s="9" t="s">
        <v>110</v>
      </c>
      <c r="B6" s="9" t="s">
        <v>44</v>
      </c>
      <c r="C6" s="10"/>
      <c r="D6" s="11">
        <v>3.47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5">
        <f t="shared" si="0"/>
        <v>0</v>
      </c>
      <c r="P6" s="12">
        <f t="shared" si="1"/>
        <v>0</v>
      </c>
    </row>
    <row r="7" spans="1:16" s="6" customFormat="1" ht="64" x14ac:dyDescent="0.55000000000000004">
      <c r="A7" s="9" t="s">
        <v>111</v>
      </c>
      <c r="B7" s="9" t="s">
        <v>45</v>
      </c>
      <c r="C7" s="10"/>
      <c r="D7" s="11">
        <v>4.2699999999999996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5">
        <f t="shared" si="0"/>
        <v>0</v>
      </c>
      <c r="P7" s="12">
        <f t="shared" si="1"/>
        <v>0</v>
      </c>
    </row>
    <row r="8" spans="1:16" s="6" customFormat="1" ht="166" customHeight="1" x14ac:dyDescent="0.55000000000000004">
      <c r="A8" s="9" t="s">
        <v>112</v>
      </c>
      <c r="B8" s="9" t="s">
        <v>46</v>
      </c>
      <c r="C8" s="10"/>
      <c r="D8" s="11">
        <v>6.23</v>
      </c>
      <c r="E8" s="13">
        <f>4*E3</f>
        <v>0</v>
      </c>
      <c r="F8" s="13">
        <f t="shared" ref="F8:G8" si="2">4*F3</f>
        <v>0</v>
      </c>
      <c r="G8" s="13">
        <f t="shared" si="2"/>
        <v>0</v>
      </c>
      <c r="H8" s="13"/>
      <c r="I8" s="13"/>
      <c r="J8" s="13"/>
      <c r="K8" s="13"/>
      <c r="L8" s="13"/>
      <c r="M8" s="13"/>
      <c r="N8" s="13"/>
      <c r="O8" s="5">
        <f t="shared" si="0"/>
        <v>0</v>
      </c>
      <c r="P8" s="12">
        <f t="shared" si="1"/>
        <v>0</v>
      </c>
    </row>
    <row r="9" spans="1:16" s="6" customFormat="1" ht="144" customHeight="1" x14ac:dyDescent="0.55000000000000004">
      <c r="A9" s="9" t="s">
        <v>113</v>
      </c>
      <c r="B9" s="9" t="s">
        <v>47</v>
      </c>
      <c r="C9" s="10"/>
      <c r="D9" s="11">
        <v>7.6579999999999995</v>
      </c>
      <c r="E9" s="13">
        <f>1*E3</f>
        <v>0</v>
      </c>
      <c r="F9" s="13">
        <f t="shared" ref="F9:G9" si="3">1*F3</f>
        <v>0</v>
      </c>
      <c r="G9" s="13">
        <f t="shared" si="3"/>
        <v>0</v>
      </c>
      <c r="H9" s="13"/>
      <c r="I9" s="13"/>
      <c r="J9" s="13"/>
      <c r="K9" s="13"/>
      <c r="L9" s="13"/>
      <c r="M9" s="13"/>
      <c r="N9" s="13"/>
      <c r="O9" s="5">
        <f t="shared" si="0"/>
        <v>0</v>
      </c>
      <c r="P9" s="12">
        <f t="shared" si="1"/>
        <v>0</v>
      </c>
    </row>
    <row r="10" spans="1:16" s="6" customFormat="1" ht="173" customHeight="1" x14ac:dyDescent="0.55000000000000004">
      <c r="A10" s="9" t="s">
        <v>141</v>
      </c>
      <c r="B10" s="9" t="s">
        <v>48</v>
      </c>
      <c r="C10" s="10" t="s">
        <v>90</v>
      </c>
      <c r="D10" s="11">
        <v>2.4472</v>
      </c>
      <c r="E10" s="13"/>
      <c r="F10" s="5"/>
      <c r="G10" s="5"/>
      <c r="H10" s="5"/>
      <c r="I10" s="5"/>
      <c r="J10" s="5"/>
      <c r="K10" s="5"/>
      <c r="L10" s="5"/>
      <c r="M10" s="5"/>
      <c r="N10" s="5"/>
      <c r="O10" s="5">
        <f t="shared" si="0"/>
        <v>0</v>
      </c>
      <c r="P10" s="12">
        <f t="shared" si="1"/>
        <v>0</v>
      </c>
    </row>
    <row r="11" spans="1:16" s="6" customFormat="1" ht="171" customHeight="1" x14ac:dyDescent="0.2">
      <c r="A11" s="9" t="s">
        <v>142</v>
      </c>
      <c r="B11" s="9" t="s">
        <v>49</v>
      </c>
      <c r="C11" s="10" t="s">
        <v>90</v>
      </c>
      <c r="D11" s="11">
        <v>3.3874399999999998</v>
      </c>
      <c r="E11" s="13"/>
      <c r="F11" s="5"/>
      <c r="G11" s="5"/>
      <c r="H11" s="5"/>
      <c r="I11" s="5"/>
      <c r="J11" s="5"/>
      <c r="K11" s="5"/>
      <c r="L11" s="5"/>
      <c r="M11" s="5"/>
      <c r="N11" s="5"/>
      <c r="O11" s="5">
        <f t="shared" si="0"/>
        <v>0</v>
      </c>
      <c r="P11" s="12">
        <f t="shared" si="1"/>
        <v>0</v>
      </c>
    </row>
    <row r="12" spans="1:16" s="6" customFormat="1" ht="187" customHeight="1" x14ac:dyDescent="0.2">
      <c r="A12" s="9" t="s">
        <v>3</v>
      </c>
      <c r="B12" s="9" t="s">
        <v>50</v>
      </c>
      <c r="C12" s="10" t="s">
        <v>91</v>
      </c>
      <c r="D12" s="11">
        <v>3.3874399999999998</v>
      </c>
      <c r="E12" s="13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12">
        <f t="shared" si="1"/>
        <v>0</v>
      </c>
    </row>
    <row r="13" spans="1:16" s="6" customFormat="1" ht="205" customHeight="1" x14ac:dyDescent="0.2">
      <c r="A13" s="9" t="s">
        <v>4</v>
      </c>
      <c r="B13" s="9" t="s">
        <v>51</v>
      </c>
      <c r="C13" s="10" t="s">
        <v>91</v>
      </c>
      <c r="D13" s="11">
        <v>4.0571999999999999</v>
      </c>
      <c r="E13" s="13"/>
      <c r="F13" s="5"/>
      <c r="G13" s="5"/>
      <c r="H13" s="5"/>
      <c r="I13" s="5"/>
      <c r="J13" s="5"/>
      <c r="K13" s="5"/>
      <c r="L13" s="5"/>
      <c r="M13" s="5"/>
      <c r="N13" s="5"/>
      <c r="O13" s="5">
        <f t="shared" ref="O13:O16" si="4">SUM(E13:G13)</f>
        <v>0</v>
      </c>
      <c r="P13" s="12">
        <f t="shared" si="1"/>
        <v>0</v>
      </c>
    </row>
    <row r="14" spans="1:16" s="6" customFormat="1" ht="205" customHeight="1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E14" s="13"/>
      <c r="F14" s="5"/>
      <c r="G14" s="5"/>
      <c r="H14" s="5"/>
      <c r="I14" s="5"/>
      <c r="J14" s="5"/>
      <c r="K14" s="5"/>
      <c r="L14" s="5"/>
      <c r="M14" s="5"/>
      <c r="N14" s="5"/>
      <c r="O14" s="5">
        <f t="shared" si="4"/>
        <v>0</v>
      </c>
      <c r="P14" s="12">
        <f t="shared" si="1"/>
        <v>0</v>
      </c>
    </row>
    <row r="15" spans="1:16" s="6" customFormat="1" ht="205" customHeight="1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E15" s="13"/>
      <c r="F15" s="5"/>
      <c r="G15" s="5"/>
      <c r="H15" s="5"/>
      <c r="I15" s="5"/>
      <c r="J15" s="5"/>
      <c r="K15" s="5"/>
      <c r="L15" s="5"/>
      <c r="M15" s="5"/>
      <c r="N15" s="5"/>
      <c r="O15" s="5">
        <f t="shared" si="4"/>
        <v>0</v>
      </c>
      <c r="P15" s="12">
        <f t="shared" si="1"/>
        <v>0</v>
      </c>
    </row>
    <row r="16" spans="1:16" s="6" customFormat="1" ht="205" customHeight="1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E16" s="13"/>
      <c r="F16" s="5"/>
      <c r="G16" s="5"/>
      <c r="H16" s="5"/>
      <c r="I16" s="5"/>
      <c r="J16" s="5"/>
      <c r="K16" s="5"/>
      <c r="L16" s="5"/>
      <c r="M16" s="5"/>
      <c r="N16" s="5"/>
      <c r="O16" s="5">
        <f t="shared" si="4"/>
        <v>0</v>
      </c>
      <c r="P16" s="12">
        <f t="shared" si="1"/>
        <v>0</v>
      </c>
    </row>
    <row r="17" spans="1:41" s="6" customFormat="1" ht="205" customHeight="1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E17" s="13"/>
      <c r="F17" s="5"/>
      <c r="G17" s="5"/>
      <c r="H17" s="5"/>
      <c r="I17" s="5"/>
      <c r="J17" s="5"/>
      <c r="K17" s="5"/>
      <c r="L17" s="5"/>
      <c r="M17" s="5"/>
      <c r="N17" s="5"/>
      <c r="O17" s="5">
        <f t="shared" ref="O17" si="5">SUM(E17:G17)</f>
        <v>0</v>
      </c>
      <c r="P17" s="12">
        <f t="shared" si="1"/>
        <v>0</v>
      </c>
    </row>
    <row r="18" spans="1:41" s="6" customFormat="1" ht="195" customHeight="1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13"/>
      <c r="F18" s="13"/>
      <c r="G18" s="5"/>
      <c r="H18" s="5"/>
      <c r="I18" s="5"/>
      <c r="J18" s="5"/>
      <c r="K18" s="5"/>
      <c r="L18" s="5"/>
      <c r="M18" s="5"/>
      <c r="N18" s="5"/>
      <c r="O18" s="5">
        <f>SUM(E18:G18)</f>
        <v>0</v>
      </c>
      <c r="P18" s="12">
        <f t="shared" si="1"/>
        <v>0</v>
      </c>
    </row>
    <row r="19" spans="1:41" s="6" customFormat="1" ht="195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13"/>
      <c r="F19" s="13"/>
      <c r="G19" s="5"/>
      <c r="H19" s="5"/>
      <c r="I19" s="5"/>
      <c r="J19" s="5"/>
      <c r="K19" s="5"/>
      <c r="L19" s="5"/>
      <c r="M19" s="5"/>
      <c r="N19" s="5"/>
      <c r="O19" s="5"/>
      <c r="P19" s="12"/>
    </row>
    <row r="20" spans="1:41" s="6" customFormat="1" ht="207" customHeight="1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3"/>
      <c r="F20" s="13"/>
      <c r="G20" s="5"/>
      <c r="H20" s="5"/>
      <c r="I20" s="5"/>
      <c r="J20" s="5"/>
      <c r="K20" s="5"/>
      <c r="L20" s="5"/>
      <c r="M20" s="5"/>
      <c r="N20" s="5"/>
      <c r="O20" s="5">
        <f t="shared" ref="O20:O27" si="6">SUM(E20:G20)</f>
        <v>0</v>
      </c>
      <c r="P20" s="12">
        <f t="shared" ref="P20:P51" si="7">D20*O20</f>
        <v>0</v>
      </c>
    </row>
    <row r="21" spans="1:41" s="6" customFormat="1" ht="205" customHeight="1" x14ac:dyDescent="0.2">
      <c r="A21" s="9" t="s">
        <v>5</v>
      </c>
      <c r="B21" s="9" t="s">
        <v>53</v>
      </c>
      <c r="C21" s="10" t="s">
        <v>90</v>
      </c>
      <c r="D21" s="11">
        <v>5.3</v>
      </c>
      <c r="E21" s="13"/>
      <c r="F21" s="5"/>
      <c r="G21" s="5"/>
      <c r="H21" s="5"/>
      <c r="I21" s="5"/>
      <c r="J21" s="5"/>
      <c r="K21" s="5"/>
      <c r="L21" s="5"/>
      <c r="M21" s="5"/>
      <c r="N21" s="5"/>
      <c r="O21" s="5">
        <f t="shared" si="6"/>
        <v>0</v>
      </c>
      <c r="P21" s="12">
        <f t="shared" si="7"/>
        <v>0</v>
      </c>
    </row>
    <row r="22" spans="1:41" s="6" customFormat="1" ht="141" customHeight="1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13"/>
      <c r="F22" s="5"/>
      <c r="G22" s="5"/>
      <c r="H22" s="5"/>
      <c r="I22" s="5"/>
      <c r="J22" s="5"/>
      <c r="K22" s="5"/>
      <c r="L22" s="5"/>
      <c r="M22" s="5"/>
      <c r="N22" s="5"/>
      <c r="O22" s="5">
        <f t="shared" si="6"/>
        <v>0</v>
      </c>
      <c r="P22" s="12">
        <f t="shared" si="7"/>
        <v>0</v>
      </c>
    </row>
    <row r="23" spans="1:41" ht="96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6"/>
        <v>0</v>
      </c>
      <c r="P23" s="12">
        <f t="shared" si="7"/>
        <v>0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64" x14ac:dyDescent="0.2">
      <c r="A24" s="9" t="s">
        <v>162</v>
      </c>
      <c r="B24" s="9" t="s">
        <v>163</v>
      </c>
      <c r="C24" s="10"/>
      <c r="D24" s="11">
        <v>0.24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6"/>
        <v>0</v>
      </c>
      <c r="P24" s="12">
        <f t="shared" si="7"/>
        <v>0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64" x14ac:dyDescent="0.2">
      <c r="A25" s="9" t="s">
        <v>164</v>
      </c>
      <c r="B25" s="9" t="s">
        <v>165</v>
      </c>
      <c r="C25" s="10"/>
      <c r="D25" s="11">
        <v>0.17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6"/>
        <v>0</v>
      </c>
      <c r="P25" s="12">
        <f t="shared" si="7"/>
        <v>0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96" x14ac:dyDescent="0.2">
      <c r="A26" s="14" t="s">
        <v>166</v>
      </c>
      <c r="B26" s="14" t="s">
        <v>167</v>
      </c>
      <c r="C26" s="10"/>
      <c r="D26" s="11">
        <v>7.2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6"/>
        <v>0</v>
      </c>
      <c r="P26" s="12">
        <f t="shared" si="7"/>
        <v>0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96" x14ac:dyDescent="0.2">
      <c r="A27" s="78" t="s">
        <v>316</v>
      </c>
      <c r="B27" s="14" t="s">
        <v>169</v>
      </c>
      <c r="C27" s="10"/>
      <c r="D27" s="11">
        <v>7.2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6"/>
        <v>0</v>
      </c>
      <c r="P27" s="12">
        <f t="shared" si="7"/>
        <v>0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96" x14ac:dyDescent="0.2">
      <c r="A28" s="78" t="s">
        <v>314</v>
      </c>
      <c r="B28" s="14" t="s">
        <v>315</v>
      </c>
      <c r="C28" s="10"/>
      <c r="D28" s="11">
        <v>7.2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ref="O28" si="8">SUM(E28:G28)</f>
        <v>0</v>
      </c>
      <c r="P28" s="12">
        <f t="shared" si="7"/>
        <v>0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96" x14ac:dyDescent="0.2">
      <c r="A29" s="14" t="s">
        <v>170</v>
      </c>
      <c r="B29" s="14" t="s">
        <v>171</v>
      </c>
      <c r="C29" s="10"/>
      <c r="D29" s="11">
        <v>7.2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>SUM(E29:G29)</f>
        <v>0</v>
      </c>
      <c r="P29" s="12">
        <f t="shared" si="7"/>
        <v>0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96" x14ac:dyDescent="0.2">
      <c r="A30" s="78" t="s">
        <v>312</v>
      </c>
      <c r="B30" s="14" t="s">
        <v>173</v>
      </c>
      <c r="C30" s="10"/>
      <c r="D30" s="11">
        <v>7.2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ref="O30" si="9">SUM(E30:G30)</f>
        <v>0</v>
      </c>
      <c r="P30" s="12">
        <f t="shared" si="7"/>
        <v>0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96" x14ac:dyDescent="0.2">
      <c r="A31" s="14" t="s">
        <v>172</v>
      </c>
      <c r="B31" s="14" t="s">
        <v>173</v>
      </c>
      <c r="C31" s="10"/>
      <c r="D31" s="11">
        <v>7.2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ref="O31:O74" si="10">SUM(E31:G31)</f>
        <v>0</v>
      </c>
      <c r="P31" s="12">
        <f t="shared" si="7"/>
        <v>0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s="6" customFormat="1" ht="151" customHeight="1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13"/>
      <c r="F32" s="5"/>
      <c r="G32" s="5"/>
      <c r="H32" s="5"/>
      <c r="I32" s="5"/>
      <c r="J32" s="5"/>
      <c r="K32" s="5"/>
      <c r="L32" s="5"/>
      <c r="M32" s="5"/>
      <c r="N32" s="5"/>
      <c r="O32" s="5">
        <f t="shared" si="10"/>
        <v>0</v>
      </c>
      <c r="P32" s="12">
        <f t="shared" si="7"/>
        <v>0</v>
      </c>
    </row>
    <row r="33" spans="1:16" s="6" customFormat="1" ht="161" customHeight="1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13"/>
      <c r="F33" s="13"/>
      <c r="G33" s="5"/>
      <c r="H33" s="5"/>
      <c r="I33" s="5"/>
      <c r="J33" s="5"/>
      <c r="K33" s="5"/>
      <c r="L33" s="5"/>
      <c r="M33" s="5"/>
      <c r="N33" s="5"/>
      <c r="O33" s="5">
        <f t="shared" si="10"/>
        <v>0</v>
      </c>
      <c r="P33" s="12">
        <f t="shared" si="7"/>
        <v>0</v>
      </c>
    </row>
    <row r="34" spans="1:16" s="6" customFormat="1" ht="139" customHeight="1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13"/>
      <c r="F34" s="13"/>
      <c r="G34" s="5"/>
      <c r="H34" s="5"/>
      <c r="I34" s="5"/>
      <c r="J34" s="5"/>
      <c r="K34" s="5"/>
      <c r="L34" s="5"/>
      <c r="M34" s="5"/>
      <c r="N34" s="5"/>
      <c r="O34" s="5">
        <f t="shared" si="10"/>
        <v>0</v>
      </c>
      <c r="P34" s="12">
        <f t="shared" si="7"/>
        <v>0</v>
      </c>
    </row>
    <row r="35" spans="1:16" s="6" customFormat="1" ht="143" customHeight="1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13"/>
      <c r="F35" s="13"/>
      <c r="G35" s="5"/>
      <c r="H35" s="5"/>
      <c r="I35" s="5"/>
      <c r="J35" s="5"/>
      <c r="K35" s="5"/>
      <c r="L35" s="5"/>
      <c r="M35" s="5"/>
      <c r="N35" s="5"/>
      <c r="O35" s="5">
        <f t="shared" si="10"/>
        <v>0</v>
      </c>
      <c r="P35" s="12">
        <f t="shared" si="7"/>
        <v>0</v>
      </c>
    </row>
    <row r="36" spans="1:16" s="6" customFormat="1" ht="195" customHeight="1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13"/>
      <c r="F36" s="13"/>
      <c r="G36" s="5"/>
      <c r="H36" s="5"/>
      <c r="I36" s="5"/>
      <c r="J36" s="5"/>
      <c r="K36" s="5"/>
      <c r="L36" s="5"/>
      <c r="M36" s="5"/>
      <c r="N36" s="5"/>
      <c r="O36" s="5">
        <f t="shared" si="10"/>
        <v>0</v>
      </c>
      <c r="P36" s="12">
        <f t="shared" si="7"/>
        <v>0</v>
      </c>
    </row>
    <row r="37" spans="1:16" s="6" customFormat="1" ht="188" customHeight="1" x14ac:dyDescent="0.2">
      <c r="A37" s="9" t="s">
        <v>143</v>
      </c>
      <c r="B37" s="9" t="s">
        <v>128</v>
      </c>
      <c r="C37" s="10" t="s">
        <v>0</v>
      </c>
      <c r="D37" s="11">
        <v>6.6220000000000008</v>
      </c>
      <c r="E37" s="13"/>
      <c r="F37" s="5"/>
      <c r="G37" s="5">
        <f>(1*G2+1)*G3</f>
        <v>0</v>
      </c>
      <c r="H37" s="5"/>
      <c r="I37" s="5"/>
      <c r="J37" s="5"/>
      <c r="K37" s="5"/>
      <c r="L37" s="5"/>
      <c r="M37" s="5"/>
      <c r="N37" s="5"/>
      <c r="O37" s="5">
        <f t="shared" si="10"/>
        <v>0</v>
      </c>
      <c r="P37" s="12">
        <f t="shared" si="7"/>
        <v>0</v>
      </c>
    </row>
    <row r="38" spans="1:16" s="6" customFormat="1" ht="188" customHeight="1" x14ac:dyDescent="0.2">
      <c r="A38" s="9" t="s">
        <v>8</v>
      </c>
      <c r="B38" s="9" t="s">
        <v>129</v>
      </c>
      <c r="C38" s="10" t="s">
        <v>0</v>
      </c>
      <c r="D38" s="11">
        <v>6.6220000000000008</v>
      </c>
      <c r="E38" s="13"/>
      <c r="F38" s="5">
        <f>(1*F2 +1)*F3</f>
        <v>0</v>
      </c>
      <c r="G38" s="5"/>
      <c r="H38" s="5"/>
      <c r="I38" s="5"/>
      <c r="J38" s="5"/>
      <c r="K38" s="5"/>
      <c r="L38" s="5"/>
      <c r="M38" s="5"/>
      <c r="N38" s="5"/>
      <c r="O38" s="5">
        <f t="shared" si="10"/>
        <v>0</v>
      </c>
      <c r="P38" s="12">
        <f t="shared" si="7"/>
        <v>0</v>
      </c>
    </row>
    <row r="39" spans="1:16" s="6" customFormat="1" ht="188" customHeight="1" x14ac:dyDescent="0.2">
      <c r="A39" s="9" t="s">
        <v>10</v>
      </c>
      <c r="B39" s="9" t="s">
        <v>130</v>
      </c>
      <c r="C39" s="10" t="s">
        <v>0</v>
      </c>
      <c r="D39" s="11">
        <v>8.6519999999999992</v>
      </c>
      <c r="E39" s="13">
        <f>(1*E2 +1)*E3</f>
        <v>0</v>
      </c>
      <c r="F39" s="5"/>
      <c r="G39" s="5"/>
      <c r="H39" s="5"/>
      <c r="I39" s="5"/>
      <c r="J39" s="5"/>
      <c r="K39" s="5"/>
      <c r="L39" s="5"/>
      <c r="M39" s="5"/>
      <c r="N39" s="5"/>
      <c r="O39" s="5">
        <f t="shared" si="10"/>
        <v>0</v>
      </c>
      <c r="P39" s="12">
        <f t="shared" si="7"/>
        <v>0</v>
      </c>
    </row>
    <row r="40" spans="1:16" s="6" customFormat="1" ht="170" customHeight="1" x14ac:dyDescent="0.2">
      <c r="A40" s="9" t="s">
        <v>117</v>
      </c>
      <c r="B40" s="9" t="s">
        <v>98</v>
      </c>
      <c r="C40" s="10" t="s">
        <v>0</v>
      </c>
      <c r="D40" s="11">
        <v>7.22</v>
      </c>
      <c r="E40" s="13"/>
      <c r="F40" s="5"/>
      <c r="G40" s="5"/>
      <c r="H40" s="5"/>
      <c r="I40" s="5"/>
      <c r="J40" s="5"/>
      <c r="K40" s="5"/>
      <c r="L40" s="5"/>
      <c r="M40" s="5"/>
      <c r="N40" s="5"/>
      <c r="O40" s="5">
        <f t="shared" si="10"/>
        <v>0</v>
      </c>
      <c r="P40" s="12">
        <f t="shared" si="7"/>
        <v>0</v>
      </c>
    </row>
    <row r="41" spans="1:16" s="6" customFormat="1" ht="170" customHeight="1" x14ac:dyDescent="0.2">
      <c r="A41" s="9" t="s">
        <v>11</v>
      </c>
      <c r="B41" s="9" t="s">
        <v>57</v>
      </c>
      <c r="C41" s="10" t="s">
        <v>0</v>
      </c>
      <c r="D41" s="11">
        <v>5.16</v>
      </c>
      <c r="E41" s="13"/>
      <c r="F41" s="5"/>
      <c r="G41" s="5"/>
      <c r="H41" s="5"/>
      <c r="I41" s="5"/>
      <c r="J41" s="5"/>
      <c r="K41" s="5"/>
      <c r="L41" s="5"/>
      <c r="M41" s="5"/>
      <c r="N41" s="5"/>
      <c r="O41" s="5">
        <f t="shared" si="10"/>
        <v>0</v>
      </c>
      <c r="P41" s="12">
        <f t="shared" si="7"/>
        <v>0</v>
      </c>
    </row>
    <row r="42" spans="1:16" s="6" customFormat="1" ht="136" customHeight="1" x14ac:dyDescent="0.2">
      <c r="A42" s="9" t="s">
        <v>116</v>
      </c>
      <c r="B42" s="9" t="s">
        <v>107</v>
      </c>
      <c r="C42" s="10" t="s">
        <v>0</v>
      </c>
      <c r="D42" s="11">
        <v>7.22</v>
      </c>
      <c r="E42" s="13"/>
      <c r="F42" s="13"/>
      <c r="G42" s="5"/>
      <c r="H42" s="5"/>
      <c r="I42" s="5"/>
      <c r="J42" s="5"/>
      <c r="K42" s="5"/>
      <c r="L42" s="5"/>
      <c r="M42" s="5"/>
      <c r="N42" s="5"/>
      <c r="O42" s="5">
        <f t="shared" si="10"/>
        <v>0</v>
      </c>
      <c r="P42" s="12">
        <f t="shared" si="7"/>
        <v>0</v>
      </c>
    </row>
    <row r="43" spans="1:16" s="6" customFormat="1" ht="142" customHeight="1" x14ac:dyDescent="0.2">
      <c r="A43" s="9" t="s">
        <v>115</v>
      </c>
      <c r="B43" s="9" t="s">
        <v>58</v>
      </c>
      <c r="C43" s="10" t="s">
        <v>0</v>
      </c>
      <c r="D43" s="11">
        <v>7.22</v>
      </c>
      <c r="E43" s="13"/>
      <c r="F43" s="13"/>
      <c r="G43" s="5"/>
      <c r="H43" s="5"/>
      <c r="I43" s="5"/>
      <c r="J43" s="5"/>
      <c r="K43" s="5"/>
      <c r="L43" s="5"/>
      <c r="M43" s="5"/>
      <c r="N43" s="5"/>
      <c r="O43" s="5">
        <f t="shared" si="10"/>
        <v>0</v>
      </c>
      <c r="P43" s="12">
        <f t="shared" si="7"/>
        <v>0</v>
      </c>
    </row>
    <row r="44" spans="1:16" s="6" customFormat="1" ht="136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13"/>
      <c r="F44" s="5"/>
      <c r="G44" s="5">
        <f>(2*G2)*G3</f>
        <v>0</v>
      </c>
      <c r="H44" s="5"/>
      <c r="I44" s="5"/>
      <c r="J44" s="5"/>
      <c r="K44" s="5"/>
      <c r="L44" s="5"/>
      <c r="M44" s="5"/>
      <c r="N44" s="5"/>
      <c r="O44" s="5">
        <f t="shared" si="10"/>
        <v>0</v>
      </c>
      <c r="P44" s="12">
        <f t="shared" si="7"/>
        <v>0</v>
      </c>
    </row>
    <row r="45" spans="1:16" s="6" customFormat="1" ht="180" customHeight="1" x14ac:dyDescent="0.2">
      <c r="A45" s="9" t="s">
        <v>13</v>
      </c>
      <c r="B45" s="9" t="s">
        <v>60</v>
      </c>
      <c r="C45" s="10"/>
      <c r="D45" s="11">
        <v>0.73</v>
      </c>
      <c r="E45" s="13"/>
      <c r="F45" s="13">
        <f>(2*F2)*F3</f>
        <v>0</v>
      </c>
      <c r="G45" s="5"/>
      <c r="H45" s="5"/>
      <c r="I45" s="5"/>
      <c r="J45" s="5"/>
      <c r="K45" s="5"/>
      <c r="L45" s="5"/>
      <c r="M45" s="5"/>
      <c r="N45" s="5"/>
      <c r="O45" s="5">
        <f t="shared" si="10"/>
        <v>0</v>
      </c>
      <c r="P45" s="12">
        <f t="shared" si="7"/>
        <v>0</v>
      </c>
    </row>
    <row r="46" spans="1:16" s="6" customFormat="1" ht="180" customHeight="1" x14ac:dyDescent="0.2">
      <c r="A46" s="9" t="s">
        <v>144</v>
      </c>
      <c r="B46" s="9" t="s">
        <v>134</v>
      </c>
      <c r="C46" s="10"/>
      <c r="D46" s="11">
        <v>0.73</v>
      </c>
      <c r="E46" s="13">
        <f>(2*E2)*E3</f>
        <v>0</v>
      </c>
      <c r="F46" s="13"/>
      <c r="G46" s="5"/>
      <c r="H46" s="5"/>
      <c r="I46" s="5"/>
      <c r="J46" s="5"/>
      <c r="K46" s="5"/>
      <c r="L46" s="5"/>
      <c r="M46" s="5"/>
      <c r="N46" s="5"/>
      <c r="O46" s="5">
        <f t="shared" si="10"/>
        <v>0</v>
      </c>
      <c r="P46" s="12">
        <f t="shared" si="7"/>
        <v>0</v>
      </c>
    </row>
    <row r="47" spans="1:16" s="6" customFormat="1" ht="198" customHeight="1" x14ac:dyDescent="0.2">
      <c r="A47" s="14" t="s">
        <v>14</v>
      </c>
      <c r="B47" s="14" t="s">
        <v>61</v>
      </c>
      <c r="C47" s="10"/>
      <c r="D47" s="11">
        <v>1.8620000000000001</v>
      </c>
      <c r="E47" s="13">
        <f>1*E3</f>
        <v>0</v>
      </c>
      <c r="F47" s="13">
        <f>1*F3</f>
        <v>0</v>
      </c>
      <c r="G47" s="13">
        <f>1*G3</f>
        <v>0</v>
      </c>
      <c r="H47" s="13"/>
      <c r="I47" s="13"/>
      <c r="J47" s="13"/>
      <c r="K47" s="13"/>
      <c r="L47" s="13"/>
      <c r="M47" s="13"/>
      <c r="N47" s="13"/>
      <c r="O47" s="5">
        <f t="shared" si="10"/>
        <v>0</v>
      </c>
      <c r="P47" s="12">
        <f t="shared" si="7"/>
        <v>0</v>
      </c>
    </row>
    <row r="48" spans="1:16" s="6" customFormat="1" ht="128" customHeight="1" x14ac:dyDescent="0.2">
      <c r="A48" s="14" t="s">
        <v>15</v>
      </c>
      <c r="B48" s="14" t="s">
        <v>62</v>
      </c>
      <c r="C48" s="10"/>
      <c r="D48" s="11">
        <v>0.96600000000000008</v>
      </c>
      <c r="E48" s="13"/>
      <c r="F48" s="5"/>
      <c r="G48" s="5"/>
      <c r="H48" s="5"/>
      <c r="I48" s="5"/>
      <c r="J48" s="5"/>
      <c r="K48" s="5"/>
      <c r="L48" s="5"/>
      <c r="M48" s="5"/>
      <c r="N48" s="5"/>
      <c r="O48" s="5">
        <f t="shared" si="10"/>
        <v>0</v>
      </c>
      <c r="P48" s="12">
        <f t="shared" si="7"/>
        <v>0</v>
      </c>
    </row>
    <row r="49" spans="1:41" s="6" customFormat="1" ht="126" customHeight="1" x14ac:dyDescent="0.2">
      <c r="A49" s="14" t="s">
        <v>16</v>
      </c>
      <c r="B49" s="14" t="s">
        <v>63</v>
      </c>
      <c r="C49" s="10"/>
      <c r="D49" s="11">
        <v>0.83</v>
      </c>
      <c r="E49" s="13">
        <f>1*E3</f>
        <v>0</v>
      </c>
      <c r="F49" s="13">
        <f>1*F3</f>
        <v>0</v>
      </c>
      <c r="G49" s="13">
        <f>1*G3</f>
        <v>0</v>
      </c>
      <c r="H49" s="13"/>
      <c r="I49" s="13"/>
      <c r="J49" s="13"/>
      <c r="K49" s="13"/>
      <c r="L49" s="13"/>
      <c r="M49" s="13"/>
      <c r="N49" s="13"/>
      <c r="O49" s="5">
        <f t="shared" si="10"/>
        <v>0</v>
      </c>
      <c r="P49" s="12">
        <f t="shared" si="7"/>
        <v>0</v>
      </c>
    </row>
    <row r="50" spans="1:41" s="6" customFormat="1" ht="108" customHeight="1" x14ac:dyDescent="0.2">
      <c r="A50" s="14" t="s">
        <v>17</v>
      </c>
      <c r="B50" s="14" t="s">
        <v>64</v>
      </c>
      <c r="C50" s="10"/>
      <c r="D50" s="11">
        <v>10.497199999999999</v>
      </c>
      <c r="E50" s="13">
        <f>2*E3</f>
        <v>0</v>
      </c>
      <c r="F50" s="13">
        <f t="shared" ref="F50:G50" si="11">2*F3</f>
        <v>0</v>
      </c>
      <c r="G50" s="13">
        <f t="shared" si="11"/>
        <v>0</v>
      </c>
      <c r="H50" s="13"/>
      <c r="I50" s="13"/>
      <c r="J50" s="13"/>
      <c r="K50" s="13"/>
      <c r="L50" s="13"/>
      <c r="M50" s="13"/>
      <c r="N50" s="13"/>
      <c r="O50" s="5">
        <f t="shared" si="10"/>
        <v>0</v>
      </c>
      <c r="P50" s="12">
        <f t="shared" si="7"/>
        <v>0</v>
      </c>
    </row>
    <row r="51" spans="1:41" ht="47" x14ac:dyDescent="0.2">
      <c r="A51" s="14" t="s">
        <v>174</v>
      </c>
      <c r="B51" s="14" t="s">
        <v>190</v>
      </c>
      <c r="C51" s="10"/>
      <c r="D51" s="11">
        <v>8.6295999999999999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f t="shared" si="10"/>
        <v>0</v>
      </c>
      <c r="P51" s="12">
        <f t="shared" si="7"/>
        <v>0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spans="1:41" ht="47" x14ac:dyDescent="0.2">
      <c r="A52" s="14" t="s">
        <v>175</v>
      </c>
      <c r="B52" s="48" t="s">
        <v>191</v>
      </c>
      <c r="C52" s="10"/>
      <c r="D52" s="11">
        <v>6.78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f t="shared" si="10"/>
        <v>0</v>
      </c>
      <c r="P52" s="12">
        <f t="shared" ref="P52:P83" si="12">D52*O52</f>
        <v>0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s="6" customFormat="1" ht="108" customHeight="1" x14ac:dyDescent="0.2">
      <c r="A53" s="14" t="s">
        <v>18</v>
      </c>
      <c r="B53" s="14" t="s">
        <v>65</v>
      </c>
      <c r="C53" s="10"/>
      <c r="D53" s="11">
        <v>6.78</v>
      </c>
      <c r="E53" s="13"/>
      <c r="F53" s="5"/>
      <c r="G53" s="5"/>
      <c r="H53" s="5"/>
      <c r="I53" s="5"/>
      <c r="J53" s="5"/>
      <c r="K53" s="5"/>
      <c r="L53" s="5"/>
      <c r="M53" s="5"/>
      <c r="N53" s="5"/>
      <c r="O53" s="5">
        <f t="shared" si="10"/>
        <v>0</v>
      </c>
      <c r="P53" s="12">
        <f t="shared" si="12"/>
        <v>0</v>
      </c>
    </row>
    <row r="54" spans="1:41" s="6" customFormat="1" ht="47" x14ac:dyDescent="0.2">
      <c r="A54" s="14" t="s">
        <v>19</v>
      </c>
      <c r="B54" s="14" t="s">
        <v>66</v>
      </c>
      <c r="C54" s="10"/>
      <c r="D54" s="11">
        <v>2.6661599999999996</v>
      </c>
      <c r="E54" s="13"/>
      <c r="F54" s="5"/>
      <c r="G54" s="5">
        <f>2*G3</f>
        <v>0</v>
      </c>
      <c r="H54" s="5"/>
      <c r="I54" s="5"/>
      <c r="J54" s="5"/>
      <c r="K54" s="5"/>
      <c r="L54" s="5"/>
      <c r="M54" s="5"/>
      <c r="N54" s="5"/>
      <c r="O54" s="5">
        <f t="shared" si="10"/>
        <v>0</v>
      </c>
      <c r="P54" s="12">
        <f t="shared" si="12"/>
        <v>0</v>
      </c>
    </row>
    <row r="55" spans="1:41" s="6" customFormat="1" ht="47" x14ac:dyDescent="0.2">
      <c r="A55" s="14" t="s">
        <v>20</v>
      </c>
      <c r="B55" s="14" t="s">
        <v>67</v>
      </c>
      <c r="C55" s="10"/>
      <c r="D55" s="11">
        <v>3.4389599999999998</v>
      </c>
      <c r="E55" s="13"/>
      <c r="F55" s="13">
        <f>2*F3</f>
        <v>0</v>
      </c>
      <c r="G55" s="13"/>
      <c r="H55" s="13"/>
      <c r="I55" s="13"/>
      <c r="J55" s="13"/>
      <c r="K55" s="13"/>
      <c r="L55" s="13"/>
      <c r="M55" s="13"/>
      <c r="N55" s="13"/>
      <c r="O55" s="5">
        <f t="shared" si="10"/>
        <v>0</v>
      </c>
      <c r="P55" s="12">
        <f t="shared" si="12"/>
        <v>0</v>
      </c>
    </row>
    <row r="56" spans="1:41" s="6" customFormat="1" ht="47" x14ac:dyDescent="0.2">
      <c r="A56" s="14" t="s">
        <v>21</v>
      </c>
      <c r="B56" s="14" t="s">
        <v>131</v>
      </c>
      <c r="C56" s="10"/>
      <c r="D56" s="11">
        <v>3.4389599999999998</v>
      </c>
      <c r="E56" s="13">
        <f>2*E3</f>
        <v>0</v>
      </c>
      <c r="F56" s="13"/>
      <c r="G56" s="13"/>
      <c r="H56" s="13"/>
      <c r="I56" s="13"/>
      <c r="J56" s="13"/>
      <c r="K56" s="13"/>
      <c r="L56" s="13"/>
      <c r="M56" s="13"/>
      <c r="N56" s="13"/>
      <c r="O56" s="5">
        <f t="shared" si="10"/>
        <v>0</v>
      </c>
      <c r="P56" s="12">
        <f t="shared" si="12"/>
        <v>0</v>
      </c>
    </row>
    <row r="57" spans="1:41" s="6" customFormat="1" ht="162" customHeight="1" x14ac:dyDescent="0.2">
      <c r="A57" s="14" t="s">
        <v>22</v>
      </c>
      <c r="B57" s="14" t="s">
        <v>70</v>
      </c>
      <c r="C57" s="10"/>
      <c r="D57" s="11">
        <v>0.15512465373961221</v>
      </c>
      <c r="E57" s="13">
        <f>2*E3</f>
        <v>0</v>
      </c>
      <c r="F57" s="13">
        <f t="shared" ref="F57:G57" si="13">2*F3</f>
        <v>0</v>
      </c>
      <c r="G57" s="13">
        <f t="shared" si="13"/>
        <v>0</v>
      </c>
      <c r="H57" s="13"/>
      <c r="I57" s="13"/>
      <c r="J57" s="13"/>
      <c r="K57" s="13"/>
      <c r="L57" s="13"/>
      <c r="M57" s="13"/>
      <c r="N57" s="13"/>
      <c r="O57" s="5">
        <f t="shared" si="10"/>
        <v>0</v>
      </c>
      <c r="P57" s="12">
        <f t="shared" si="12"/>
        <v>0</v>
      </c>
    </row>
    <row r="58" spans="1:41" s="6" customFormat="1" ht="164" customHeight="1" x14ac:dyDescent="0.2">
      <c r="A58" s="14" t="s">
        <v>23</v>
      </c>
      <c r="B58" s="14" t="s">
        <v>69</v>
      </c>
      <c r="C58" s="10"/>
      <c r="D58" s="11">
        <v>0.27922437673130196</v>
      </c>
      <c r="E58" s="13">
        <f>2*E3</f>
        <v>0</v>
      </c>
      <c r="F58" s="13">
        <f t="shared" ref="F58:G58" si="14">2*F3</f>
        <v>0</v>
      </c>
      <c r="G58" s="13">
        <f t="shared" si="14"/>
        <v>0</v>
      </c>
      <c r="H58" s="13"/>
      <c r="I58" s="13"/>
      <c r="J58" s="13"/>
      <c r="K58" s="13"/>
      <c r="L58" s="13"/>
      <c r="M58" s="13"/>
      <c r="N58" s="13"/>
      <c r="O58" s="5">
        <f t="shared" si="10"/>
        <v>0</v>
      </c>
      <c r="P58" s="12">
        <f t="shared" si="12"/>
        <v>0</v>
      </c>
    </row>
    <row r="59" spans="1:41" s="6" customFormat="1" ht="174" customHeight="1" x14ac:dyDescent="0.2">
      <c r="A59" s="14" t="s">
        <v>24</v>
      </c>
      <c r="B59" s="14" t="s">
        <v>68</v>
      </c>
      <c r="C59" s="10"/>
      <c r="D59" s="11">
        <v>0.12409972299168978</v>
      </c>
      <c r="E59" s="13">
        <f>2*E3</f>
        <v>0</v>
      </c>
      <c r="F59" s="13">
        <f t="shared" ref="F59:G59" si="15">2*F3</f>
        <v>0</v>
      </c>
      <c r="G59" s="13">
        <f t="shared" si="15"/>
        <v>0</v>
      </c>
      <c r="H59" s="13"/>
      <c r="I59" s="13"/>
      <c r="J59" s="13"/>
      <c r="K59" s="13"/>
      <c r="L59" s="13"/>
      <c r="M59" s="13"/>
      <c r="N59" s="13"/>
      <c r="O59" s="5">
        <f t="shared" si="10"/>
        <v>0</v>
      </c>
      <c r="P59" s="12">
        <f t="shared" si="12"/>
        <v>0</v>
      </c>
    </row>
    <row r="60" spans="1:41" s="6" customFormat="1" ht="152" customHeight="1" x14ac:dyDescent="0.2">
      <c r="A60" s="14" t="s">
        <v>25</v>
      </c>
      <c r="B60" s="14" t="s">
        <v>71</v>
      </c>
      <c r="C60" s="10"/>
      <c r="D60" s="11">
        <v>3.1024930747922445E-2</v>
      </c>
      <c r="E60" s="13">
        <f>2*E3</f>
        <v>0</v>
      </c>
      <c r="F60" s="13">
        <f t="shared" ref="F60:G60" si="16">2*F3</f>
        <v>0</v>
      </c>
      <c r="G60" s="13">
        <f t="shared" si="16"/>
        <v>0</v>
      </c>
      <c r="H60" s="13"/>
      <c r="I60" s="13"/>
      <c r="J60" s="13"/>
      <c r="K60" s="13"/>
      <c r="L60" s="13"/>
      <c r="M60" s="13"/>
      <c r="N60" s="13"/>
      <c r="O60" s="5">
        <f t="shared" si="10"/>
        <v>0</v>
      </c>
      <c r="P60" s="12">
        <f t="shared" si="12"/>
        <v>0</v>
      </c>
    </row>
    <row r="61" spans="1:41" s="6" customFormat="1" ht="128" customHeight="1" x14ac:dyDescent="0.2">
      <c r="A61" s="14" t="s">
        <v>26</v>
      </c>
      <c r="B61" s="14" t="s">
        <v>72</v>
      </c>
      <c r="C61" s="10"/>
      <c r="D61" s="11">
        <v>3.49</v>
      </c>
      <c r="E61" s="13"/>
      <c r="F61" s="5"/>
      <c r="G61" s="5"/>
      <c r="H61" s="5"/>
      <c r="I61" s="5"/>
      <c r="J61" s="5"/>
      <c r="K61" s="5"/>
      <c r="L61" s="5"/>
      <c r="M61" s="5"/>
      <c r="N61" s="5"/>
      <c r="O61" s="5">
        <f t="shared" si="10"/>
        <v>0</v>
      </c>
      <c r="P61" s="12">
        <f t="shared" si="12"/>
        <v>0</v>
      </c>
    </row>
    <row r="62" spans="1:41" s="6" customFormat="1" ht="347" customHeight="1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13"/>
      <c r="F62" s="5"/>
      <c r="G62" s="5"/>
      <c r="H62" s="5"/>
      <c r="I62" s="5"/>
      <c r="J62" s="5"/>
      <c r="K62" s="5"/>
      <c r="L62" s="5"/>
      <c r="M62" s="5"/>
      <c r="N62" s="5"/>
      <c r="O62" s="5">
        <f t="shared" si="10"/>
        <v>0</v>
      </c>
      <c r="P62" s="12">
        <f t="shared" si="12"/>
        <v>0</v>
      </c>
    </row>
    <row r="63" spans="1:41" s="6" customFormat="1" ht="297" customHeight="1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3"/>
      <c r="F63" s="5"/>
      <c r="G63" s="5"/>
      <c r="H63" s="5"/>
      <c r="I63" s="5"/>
      <c r="J63" s="5"/>
      <c r="K63" s="5"/>
      <c r="L63" s="5"/>
      <c r="M63" s="5"/>
      <c r="N63" s="5"/>
      <c r="O63" s="5">
        <f t="shared" si="10"/>
        <v>0</v>
      </c>
      <c r="P63" s="12">
        <f t="shared" si="12"/>
        <v>0</v>
      </c>
    </row>
    <row r="64" spans="1:41" s="6" customFormat="1" ht="126" customHeight="1" x14ac:dyDescent="0.2">
      <c r="A64" s="14" t="s">
        <v>29</v>
      </c>
      <c r="B64" s="14" t="s">
        <v>75</v>
      </c>
      <c r="C64" s="10"/>
      <c r="D64" s="11">
        <v>1.1399999999999999</v>
      </c>
      <c r="E64" s="13">
        <f>2*E3</f>
        <v>0</v>
      </c>
      <c r="F64" s="13">
        <f t="shared" ref="F64:G64" si="17">2*F3</f>
        <v>0</v>
      </c>
      <c r="G64" s="13">
        <f t="shared" si="17"/>
        <v>0</v>
      </c>
      <c r="H64" s="13"/>
      <c r="I64" s="13"/>
      <c r="J64" s="13"/>
      <c r="K64" s="13"/>
      <c r="L64" s="13"/>
      <c r="M64" s="13"/>
      <c r="N64" s="13"/>
      <c r="O64" s="5">
        <f t="shared" si="10"/>
        <v>0</v>
      </c>
      <c r="P64" s="12">
        <f t="shared" si="12"/>
        <v>0</v>
      </c>
    </row>
    <row r="65" spans="1:41" s="6" customFormat="1" ht="94" customHeight="1" x14ac:dyDescent="0.2">
      <c r="A65" s="14" t="s">
        <v>30</v>
      </c>
      <c r="B65" s="14" t="s">
        <v>76</v>
      </c>
      <c r="C65" s="10"/>
      <c r="D65" s="11">
        <v>1.22</v>
      </c>
      <c r="E65" s="13"/>
      <c r="F65" s="5"/>
      <c r="G65" s="5"/>
      <c r="H65" s="5"/>
      <c r="I65" s="5"/>
      <c r="J65" s="5"/>
      <c r="K65" s="5"/>
      <c r="L65" s="5"/>
      <c r="M65" s="5"/>
      <c r="N65" s="5"/>
      <c r="O65" s="5">
        <f t="shared" si="10"/>
        <v>0</v>
      </c>
      <c r="P65" s="12">
        <f t="shared" si="12"/>
        <v>0</v>
      </c>
    </row>
    <row r="66" spans="1:41" s="6" customFormat="1" ht="164" customHeight="1" x14ac:dyDescent="0.2">
      <c r="A66" s="14" t="s">
        <v>31</v>
      </c>
      <c r="B66" s="14" t="s">
        <v>187</v>
      </c>
      <c r="C66" s="10"/>
      <c r="D66" s="11">
        <v>2.15</v>
      </c>
      <c r="E66" s="13"/>
      <c r="F66" s="5"/>
      <c r="G66" s="5"/>
      <c r="H66" s="5"/>
      <c r="I66" s="5"/>
      <c r="J66" s="5"/>
      <c r="K66" s="5"/>
      <c r="L66" s="5"/>
      <c r="M66" s="5"/>
      <c r="N66" s="5"/>
      <c r="O66" s="5">
        <f t="shared" si="10"/>
        <v>0</v>
      </c>
      <c r="P66" s="12">
        <f t="shared" si="12"/>
        <v>0</v>
      </c>
    </row>
    <row r="67" spans="1:41" s="6" customFormat="1" ht="190" customHeight="1" x14ac:dyDescent="0.2">
      <c r="A67" s="14" t="s">
        <v>32</v>
      </c>
      <c r="B67" s="14" t="s">
        <v>77</v>
      </c>
      <c r="C67" s="10"/>
      <c r="D67" s="11">
        <v>5.5579999999999998</v>
      </c>
      <c r="E67" s="13">
        <f>2*E3</f>
        <v>0</v>
      </c>
      <c r="F67" s="13">
        <f t="shared" ref="F67:G67" si="18">2*F3</f>
        <v>0</v>
      </c>
      <c r="G67" s="13">
        <f t="shared" si="18"/>
        <v>0</v>
      </c>
      <c r="H67" s="13"/>
      <c r="I67" s="13"/>
      <c r="J67" s="13"/>
      <c r="K67" s="13"/>
      <c r="L67" s="13"/>
      <c r="M67" s="13"/>
      <c r="N67" s="13"/>
      <c r="O67" s="5">
        <f t="shared" si="10"/>
        <v>0</v>
      </c>
      <c r="P67" s="12">
        <f t="shared" si="12"/>
        <v>0</v>
      </c>
    </row>
    <row r="68" spans="1:41" s="6" customFormat="1" ht="206" customHeight="1" x14ac:dyDescent="0.2">
      <c r="A68" s="14" t="s">
        <v>33</v>
      </c>
      <c r="B68" s="14" t="s">
        <v>78</v>
      </c>
      <c r="C68" s="10"/>
      <c r="D68" s="11">
        <v>5.5579999999999998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5">
        <f t="shared" si="10"/>
        <v>0</v>
      </c>
      <c r="P68" s="12">
        <f t="shared" si="12"/>
        <v>0</v>
      </c>
    </row>
    <row r="69" spans="1:41" ht="64" x14ac:dyDescent="0.2">
      <c r="A69" s="14" t="s">
        <v>176</v>
      </c>
      <c r="B69" s="14" t="s">
        <v>192</v>
      </c>
      <c r="C69" s="10"/>
      <c r="D69" s="11">
        <v>5.5579999999999998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f t="shared" si="10"/>
        <v>0</v>
      </c>
      <c r="P69" s="12">
        <f t="shared" si="12"/>
        <v>0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</row>
    <row r="70" spans="1:41" ht="64" x14ac:dyDescent="0.2">
      <c r="A70" s="14" t="s">
        <v>177</v>
      </c>
      <c r="B70" s="14" t="s">
        <v>193</v>
      </c>
      <c r="C70" s="10"/>
      <c r="D70" s="11">
        <v>5.5579999999999998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f t="shared" si="10"/>
        <v>0</v>
      </c>
      <c r="P70" s="12">
        <f t="shared" si="12"/>
        <v>0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64" x14ac:dyDescent="0.2">
      <c r="A71" s="14" t="s">
        <v>178</v>
      </c>
      <c r="B71" s="14" t="s">
        <v>194</v>
      </c>
      <c r="C71" s="10"/>
      <c r="D71" s="11">
        <v>5.5579999999999998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5">
        <f t="shared" si="10"/>
        <v>0</v>
      </c>
      <c r="P71" s="12">
        <f t="shared" si="12"/>
        <v>0</v>
      </c>
    </row>
    <row r="72" spans="1:41" ht="64" x14ac:dyDescent="0.2">
      <c r="A72" s="14" t="s">
        <v>179</v>
      </c>
      <c r="B72" s="14" t="s">
        <v>195</v>
      </c>
      <c r="C72" s="10"/>
      <c r="D72" s="11">
        <v>5.5579999999999998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5">
        <f t="shared" si="10"/>
        <v>0</v>
      </c>
      <c r="P72" s="12">
        <f t="shared" si="12"/>
        <v>0</v>
      </c>
    </row>
    <row r="73" spans="1:41" s="6" customFormat="1" ht="142" customHeight="1" x14ac:dyDescent="0.2">
      <c r="A73" s="14" t="s">
        <v>34</v>
      </c>
      <c r="B73" s="14" t="s">
        <v>79</v>
      </c>
      <c r="C73" s="10"/>
      <c r="D73" s="11">
        <v>3.3879999999999999</v>
      </c>
      <c r="E73" s="13"/>
      <c r="F73" s="5"/>
      <c r="G73" s="5"/>
      <c r="H73" s="5"/>
      <c r="I73" s="5"/>
      <c r="J73" s="5"/>
      <c r="K73" s="5"/>
      <c r="L73" s="5"/>
      <c r="M73" s="5"/>
      <c r="N73" s="5"/>
      <c r="O73" s="5">
        <f t="shared" si="10"/>
        <v>0</v>
      </c>
      <c r="P73" s="12">
        <f t="shared" si="12"/>
        <v>0</v>
      </c>
    </row>
    <row r="74" spans="1:41" s="6" customFormat="1" ht="184" customHeight="1" x14ac:dyDescent="0.2">
      <c r="A74" s="14" t="s">
        <v>35</v>
      </c>
      <c r="B74" s="14" t="s">
        <v>80</v>
      </c>
      <c r="C74" s="10"/>
      <c r="D74" s="11">
        <v>3.3879999999999999</v>
      </c>
      <c r="E74" s="13"/>
      <c r="F74" s="5"/>
      <c r="G74" s="5"/>
      <c r="H74" s="5"/>
      <c r="I74" s="5"/>
      <c r="J74" s="5"/>
      <c r="K74" s="5"/>
      <c r="L74" s="5"/>
      <c r="M74" s="5"/>
      <c r="N74" s="5"/>
      <c r="O74" s="5">
        <f t="shared" si="10"/>
        <v>0</v>
      </c>
      <c r="P74" s="12">
        <f t="shared" si="12"/>
        <v>0</v>
      </c>
    </row>
    <row r="75" spans="1:41" s="6" customFormat="1" ht="180" customHeight="1" x14ac:dyDescent="0.2">
      <c r="A75" s="14" t="s">
        <v>36</v>
      </c>
      <c r="B75" s="14" t="s">
        <v>81</v>
      </c>
      <c r="C75" s="10"/>
      <c r="D75" s="11">
        <v>2.1280000000000001</v>
      </c>
      <c r="E75" s="13"/>
      <c r="F75" s="5"/>
      <c r="G75" s="5"/>
      <c r="H75" s="5"/>
      <c r="I75" s="5"/>
      <c r="J75" s="5"/>
      <c r="K75" s="5"/>
      <c r="L75" s="5"/>
      <c r="M75" s="5"/>
      <c r="N75" s="5"/>
      <c r="O75" s="5">
        <f t="shared" ref="O75:O82" si="19">SUM(E75:G75)</f>
        <v>0</v>
      </c>
      <c r="P75" s="12">
        <f t="shared" si="12"/>
        <v>0</v>
      </c>
    </row>
    <row r="76" spans="1:41" s="6" customFormat="1" ht="176" customHeight="1" x14ac:dyDescent="0.2">
      <c r="A76" s="14" t="s">
        <v>37</v>
      </c>
      <c r="B76" s="14" t="s">
        <v>82</v>
      </c>
      <c r="C76" s="10"/>
      <c r="D76" s="11">
        <v>2.702</v>
      </c>
      <c r="E76" s="13"/>
      <c r="F76" s="5"/>
      <c r="G76" s="5"/>
      <c r="H76" s="5"/>
      <c r="I76" s="5"/>
      <c r="J76" s="5"/>
      <c r="K76" s="5"/>
      <c r="L76" s="5"/>
      <c r="M76" s="5"/>
      <c r="N76" s="5"/>
      <c r="O76" s="5">
        <f t="shared" si="19"/>
        <v>0</v>
      </c>
      <c r="P76" s="12">
        <f t="shared" si="12"/>
        <v>0</v>
      </c>
    </row>
    <row r="77" spans="1:41" s="6" customFormat="1" ht="194" customHeight="1" x14ac:dyDescent="0.2">
      <c r="A77" s="14" t="s">
        <v>38</v>
      </c>
      <c r="B77" s="14" t="s">
        <v>83</v>
      </c>
      <c r="C77" s="10"/>
      <c r="D77" s="11">
        <v>0.68599999999999994</v>
      </c>
      <c r="E77" s="13"/>
      <c r="F77" s="5"/>
      <c r="G77" s="5">
        <f>1*G3</f>
        <v>0</v>
      </c>
      <c r="H77" s="5"/>
      <c r="I77" s="5"/>
      <c r="J77" s="5"/>
      <c r="K77" s="5"/>
      <c r="L77" s="5"/>
      <c r="M77" s="5"/>
      <c r="N77" s="5"/>
      <c r="O77" s="5">
        <f t="shared" si="19"/>
        <v>0</v>
      </c>
      <c r="P77" s="12">
        <f t="shared" si="12"/>
        <v>0</v>
      </c>
    </row>
    <row r="78" spans="1:41" s="6" customFormat="1" ht="210" customHeight="1" x14ac:dyDescent="0.2">
      <c r="A78" s="14" t="s">
        <v>39</v>
      </c>
      <c r="B78" s="14" t="s">
        <v>84</v>
      </c>
      <c r="C78" s="10"/>
      <c r="D78" s="11">
        <v>0.68599999999999994</v>
      </c>
      <c r="E78" s="13"/>
      <c r="F78" s="5"/>
      <c r="G78" s="5">
        <f>1*G3</f>
        <v>0</v>
      </c>
      <c r="H78" s="5"/>
      <c r="I78" s="5"/>
      <c r="J78" s="5"/>
      <c r="K78" s="5"/>
      <c r="L78" s="5"/>
      <c r="M78" s="5"/>
      <c r="N78" s="5"/>
      <c r="O78" s="5">
        <f t="shared" si="19"/>
        <v>0</v>
      </c>
      <c r="P78" s="12">
        <f t="shared" si="12"/>
        <v>0</v>
      </c>
    </row>
    <row r="79" spans="1:41" s="6" customFormat="1" ht="186" customHeight="1" x14ac:dyDescent="0.2">
      <c r="A79" s="14" t="s">
        <v>40</v>
      </c>
      <c r="B79" s="14" t="s">
        <v>85</v>
      </c>
      <c r="C79" s="10"/>
      <c r="D79" s="11">
        <v>0.98</v>
      </c>
      <c r="E79" s="13"/>
      <c r="F79" s="13">
        <f>1*F3</f>
        <v>0</v>
      </c>
      <c r="G79" s="5"/>
      <c r="H79" s="5"/>
      <c r="I79" s="5"/>
      <c r="J79" s="5"/>
      <c r="K79" s="5"/>
      <c r="L79" s="5"/>
      <c r="M79" s="5"/>
      <c r="N79" s="5"/>
      <c r="O79" s="5">
        <f t="shared" si="19"/>
        <v>0</v>
      </c>
      <c r="P79" s="12">
        <f t="shared" si="12"/>
        <v>0</v>
      </c>
    </row>
    <row r="80" spans="1:41" s="6" customFormat="1" ht="184" customHeight="1" x14ac:dyDescent="0.2">
      <c r="A80" s="14" t="s">
        <v>41</v>
      </c>
      <c r="B80" s="15" t="s">
        <v>254</v>
      </c>
      <c r="C80" s="16"/>
      <c r="D80" s="11">
        <v>0.98</v>
      </c>
      <c r="E80" s="13"/>
      <c r="F80" s="13">
        <f>1*F3</f>
        <v>0</v>
      </c>
      <c r="G80" s="5"/>
      <c r="H80" s="5"/>
      <c r="I80" s="5"/>
      <c r="J80" s="5"/>
      <c r="K80" s="5"/>
      <c r="L80" s="5"/>
      <c r="M80" s="5"/>
      <c r="N80" s="5"/>
      <c r="O80" s="5">
        <f t="shared" si="19"/>
        <v>0</v>
      </c>
      <c r="P80" s="12">
        <f t="shared" si="12"/>
        <v>0</v>
      </c>
    </row>
    <row r="81" spans="1:41" s="6" customFormat="1" ht="230" customHeight="1" x14ac:dyDescent="0.2">
      <c r="A81" s="14" t="s">
        <v>136</v>
      </c>
      <c r="B81" s="14" t="s">
        <v>132</v>
      </c>
      <c r="C81" s="10"/>
      <c r="D81" s="11">
        <v>0.98</v>
      </c>
      <c r="E81" s="13">
        <f>1*E3</f>
        <v>0</v>
      </c>
      <c r="F81" s="5"/>
      <c r="G81" s="5"/>
      <c r="H81" s="5"/>
      <c r="I81" s="5"/>
      <c r="J81" s="5"/>
      <c r="K81" s="5"/>
      <c r="L81" s="5"/>
      <c r="M81" s="5"/>
      <c r="N81" s="5"/>
      <c r="O81" s="5">
        <f t="shared" si="19"/>
        <v>0</v>
      </c>
      <c r="P81" s="12">
        <f t="shared" si="12"/>
        <v>0</v>
      </c>
    </row>
    <row r="82" spans="1:41" s="6" customFormat="1" ht="184" customHeight="1" x14ac:dyDescent="0.2">
      <c r="A82" s="14" t="s">
        <v>137</v>
      </c>
      <c r="B82" s="14" t="s">
        <v>133</v>
      </c>
      <c r="C82" s="10"/>
      <c r="D82" s="11">
        <v>0.68599999999999994</v>
      </c>
      <c r="E82" s="13">
        <f>1*E3</f>
        <v>0</v>
      </c>
      <c r="F82" s="5"/>
      <c r="G82" s="5">
        <f>1*G7</f>
        <v>0</v>
      </c>
      <c r="H82" s="5"/>
      <c r="I82" s="5"/>
      <c r="J82" s="5"/>
      <c r="K82" s="5"/>
      <c r="L82" s="5"/>
      <c r="M82" s="5"/>
      <c r="N82" s="5"/>
      <c r="O82" s="5">
        <f t="shared" si="19"/>
        <v>0</v>
      </c>
      <c r="P82" s="12">
        <f t="shared" si="12"/>
        <v>0</v>
      </c>
    </row>
    <row r="83" spans="1:41" ht="128" x14ac:dyDescent="0.2">
      <c r="A83" s="10" t="s">
        <v>154</v>
      </c>
      <c r="B83" s="10" t="s">
        <v>155</v>
      </c>
      <c r="C83" s="10"/>
      <c r="D83" s="11">
        <v>19.137999999999998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12">
        <f t="shared" si="12"/>
        <v>0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256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12">
        <f t="shared" ref="P84:P90" si="20">D84*O84</f>
        <v>0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256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12">
        <f t="shared" si="20"/>
        <v>0</v>
      </c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256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12">
        <f t="shared" si="20"/>
        <v>0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28" x14ac:dyDescent="0.2">
      <c r="A87" s="14" t="s">
        <v>180</v>
      </c>
      <c r="B87" s="10" t="s">
        <v>181</v>
      </c>
      <c r="C87" s="10"/>
      <c r="D87" s="11">
        <v>0.75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2">
        <f t="shared" si="20"/>
        <v>0</v>
      </c>
    </row>
    <row r="88" spans="1:41" ht="128" x14ac:dyDescent="0.2">
      <c r="A88" s="14" t="s">
        <v>182</v>
      </c>
      <c r="B88" s="10" t="s">
        <v>183</v>
      </c>
      <c r="C88" s="10"/>
      <c r="D88" s="11">
        <v>0.75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2">
        <f t="shared" si="20"/>
        <v>0</v>
      </c>
    </row>
    <row r="89" spans="1:41" ht="128" x14ac:dyDescent="0.2">
      <c r="A89" s="14" t="s">
        <v>184</v>
      </c>
      <c r="B89" s="10" t="s">
        <v>185</v>
      </c>
      <c r="C89" s="10"/>
      <c r="D89" s="11">
        <v>0.75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2">
        <f t="shared" si="20"/>
        <v>0</v>
      </c>
    </row>
    <row r="90" spans="1:41" ht="128" x14ac:dyDescent="0.2">
      <c r="A90" s="14" t="s">
        <v>186</v>
      </c>
      <c r="B90" s="14" t="s">
        <v>256</v>
      </c>
      <c r="C90" s="10"/>
      <c r="D90" s="11">
        <v>0.75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2">
        <f t="shared" si="20"/>
        <v>0</v>
      </c>
    </row>
    <row r="91" spans="1:41" s="6" customFormat="1" ht="84" customHeight="1" x14ac:dyDescent="0.2">
      <c r="A91" s="17"/>
      <c r="B91" s="17"/>
      <c r="C91" s="18"/>
      <c r="D91" s="19"/>
      <c r="E91" s="20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2"/>
    </row>
    <row r="92" spans="1:41" s="8" customFormat="1" ht="47" x14ac:dyDescent="0.2">
      <c r="O92" s="8" t="s">
        <v>114</v>
      </c>
      <c r="P92" s="23">
        <f>SUM(P4:P80)</f>
        <v>0</v>
      </c>
    </row>
    <row r="93" spans="1:41" s="6" customFormat="1" ht="47" x14ac:dyDescent="0.2"/>
  </sheetData>
  <pageMargins left="0.7" right="0.7" top="0.75" bottom="0.75" header="0.3" footer="0.3"/>
  <ignoredErrors>
    <ignoredError sqref="O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BB9D-47D6-EE46-A285-71C218E57890}">
  <sheetPr>
    <tabColor theme="4"/>
  </sheetPr>
  <dimension ref="A1:R92"/>
  <sheetViews>
    <sheetView zoomScale="55" workbookViewId="0">
      <selection activeCell="J4" sqref="J4"/>
    </sheetView>
  </sheetViews>
  <sheetFormatPr baseColWidth="10" defaultRowHeight="16" x14ac:dyDescent="0.2"/>
  <cols>
    <col min="1" max="1" width="44.1640625" customWidth="1"/>
    <col min="2" max="2" width="45.5" customWidth="1"/>
    <col min="3" max="3" width="38.33203125" customWidth="1"/>
    <col min="4" max="4" width="45.33203125" customWidth="1"/>
    <col min="5" max="5" width="53.6640625" customWidth="1"/>
    <col min="6" max="6" width="45.33203125" customWidth="1"/>
    <col min="7" max="7" width="51" customWidth="1"/>
    <col min="8" max="8" width="84.33203125" customWidth="1"/>
    <col min="9" max="9" width="49.33203125" customWidth="1"/>
    <col min="10" max="10" width="47.83203125" customWidth="1"/>
    <col min="11" max="11" width="4.33203125" customWidth="1"/>
    <col min="12" max="12" width="4.5" customWidth="1"/>
    <col min="13" max="13" width="5.1640625" customWidth="1"/>
    <col min="14" max="14" width="5.83203125" customWidth="1"/>
    <col min="15" max="15" width="21.6640625" customWidth="1"/>
    <col min="16" max="16" width="32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242</v>
      </c>
      <c r="F1" s="4" t="s">
        <v>244</v>
      </c>
      <c r="G1" s="4" t="s">
        <v>246</v>
      </c>
      <c r="H1" s="4" t="s">
        <v>248</v>
      </c>
      <c r="I1" s="4" t="s">
        <v>300</v>
      </c>
      <c r="J1" s="4" t="s">
        <v>250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O4" s="1">
        <f t="shared" ref="O4:O12" si="0">SUM(E4:J4)</f>
        <v>0</v>
      </c>
      <c r="P4" s="12">
        <f t="shared" ref="P4:P35" si="1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O5" s="1">
        <f t="shared" si="0"/>
        <v>0</v>
      </c>
      <c r="P5" s="12">
        <f t="shared" si="1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O6" s="1">
        <f t="shared" si="0"/>
        <v>0</v>
      </c>
      <c r="P6" s="12">
        <f t="shared" si="1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O7" s="1">
        <f t="shared" si="0"/>
        <v>0</v>
      </c>
      <c r="P7" s="12">
        <f t="shared" si="1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E8" s="1">
        <f>4*E3</f>
        <v>0</v>
      </c>
      <c r="F8" s="1">
        <f>4*F3</f>
        <v>0</v>
      </c>
      <c r="I8" s="1">
        <f>6*I3</f>
        <v>0</v>
      </c>
      <c r="J8" s="1">
        <f>6*J3</f>
        <v>0</v>
      </c>
      <c r="O8" s="1">
        <f t="shared" si="0"/>
        <v>0</v>
      </c>
      <c r="P8" s="12">
        <f t="shared" si="1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E9" s="1">
        <f>2*E3</f>
        <v>0</v>
      </c>
      <c r="F9" s="1">
        <f>2*F3</f>
        <v>0</v>
      </c>
      <c r="G9" s="1">
        <f>6*G3</f>
        <v>0</v>
      </c>
      <c r="H9" s="1">
        <f>6*H3</f>
        <v>0</v>
      </c>
      <c r="I9" s="1">
        <f>2*I3</f>
        <v>0</v>
      </c>
      <c r="J9" s="1">
        <f>2*J3</f>
        <v>0</v>
      </c>
      <c r="O9" s="1">
        <f t="shared" si="0"/>
        <v>0</v>
      </c>
      <c r="P9" s="12">
        <f t="shared" si="1"/>
        <v>0</v>
      </c>
    </row>
    <row r="10" spans="1:18" s="1" customFormat="1" ht="128" x14ac:dyDescent="0.35">
      <c r="A10" s="9" t="s">
        <v>2</v>
      </c>
      <c r="B10" s="9" t="s">
        <v>48</v>
      </c>
      <c r="C10" s="10" t="s">
        <v>90</v>
      </c>
      <c r="D10" s="11">
        <v>2.4472</v>
      </c>
      <c r="O10" s="1">
        <f t="shared" si="0"/>
        <v>0</v>
      </c>
      <c r="P10" s="12">
        <f t="shared" si="1"/>
        <v>0</v>
      </c>
    </row>
    <row r="11" spans="1:18" s="1" customFormat="1" ht="128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8*H3</f>
        <v>0</v>
      </c>
      <c r="O11" s="1">
        <f t="shared" si="0"/>
        <v>0</v>
      </c>
      <c r="P11" s="12">
        <f t="shared" si="1"/>
        <v>0</v>
      </c>
    </row>
    <row r="12" spans="1:18" s="1" customFormat="1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0"/>
        <v>0</v>
      </c>
      <c r="P12" s="12">
        <f t="shared" si="1"/>
        <v>0</v>
      </c>
    </row>
    <row r="13" spans="1:18" s="1" customFormat="1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ref="O13:O16" si="2">SUM(E13:J13)</f>
        <v>0</v>
      </c>
      <c r="P13" s="12">
        <f t="shared" si="1"/>
        <v>0</v>
      </c>
    </row>
    <row r="14" spans="1:18" s="1" customFormat="1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2"/>
        <v>0</v>
      </c>
      <c r="P14" s="12">
        <f t="shared" si="1"/>
        <v>0</v>
      </c>
    </row>
    <row r="15" spans="1:18" s="1" customFormat="1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2"/>
        <v>0</v>
      </c>
      <c r="P15" s="12">
        <f t="shared" si="1"/>
        <v>0</v>
      </c>
    </row>
    <row r="16" spans="1:18" s="1" customFormat="1" ht="128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2"/>
        <v>0</v>
      </c>
      <c r="P16" s="12">
        <f t="shared" si="1"/>
        <v>0</v>
      </c>
    </row>
    <row r="17" spans="1:16" s="1" customFormat="1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ref="O17" si="3">SUM(E17:J17)</f>
        <v>0</v>
      </c>
      <c r="P17" s="12">
        <f t="shared" si="1"/>
        <v>0</v>
      </c>
    </row>
    <row r="18" spans="1:16" s="1" customFormat="1" ht="128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O18" s="1">
        <f t="shared" ref="O18:O27" si="4">SUM(E18:J18)</f>
        <v>0</v>
      </c>
      <c r="P18" s="12">
        <f t="shared" si="1"/>
        <v>0</v>
      </c>
    </row>
    <row r="19" spans="1:16" s="1" customFormat="1" ht="128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4"/>
        <v>0</v>
      </c>
      <c r="P19" s="12">
        <f t="shared" si="1"/>
        <v>0</v>
      </c>
    </row>
    <row r="20" spans="1:16" s="1" customFormat="1" ht="128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O20" s="1">
        <f t="shared" si="4"/>
        <v>0</v>
      </c>
      <c r="P20" s="12">
        <f t="shared" si="1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4"/>
        <v>0</v>
      </c>
      <c r="P21" s="12">
        <f t="shared" si="1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4"/>
        <v>0</v>
      </c>
      <c r="P22" s="12">
        <f t="shared" si="1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4"/>
        <v>0</v>
      </c>
      <c r="P23" s="12">
        <f t="shared" si="1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4"/>
        <v>0</v>
      </c>
      <c r="P24" s="12">
        <f t="shared" si="1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4"/>
        <v>0</v>
      </c>
      <c r="P25" s="12">
        <f t="shared" si="1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4"/>
        <v>0</v>
      </c>
      <c r="P26" s="12">
        <f t="shared" si="1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4"/>
        <v>0</v>
      </c>
      <c r="P27" s="12">
        <f t="shared" si="1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ref="O28" si="5">SUM(E28:J28)</f>
        <v>0</v>
      </c>
      <c r="P28" s="12">
        <f t="shared" si="1"/>
        <v>0</v>
      </c>
    </row>
    <row r="29" spans="1:16" s="1" customFormat="1" ht="128" x14ac:dyDescent="0.2">
      <c r="A29" s="14" t="s">
        <v>170</v>
      </c>
      <c r="B29" s="14" t="s">
        <v>171</v>
      </c>
      <c r="C29" s="10"/>
      <c r="D29" s="11">
        <v>7.2</v>
      </c>
      <c r="O29" s="1">
        <f>SUM(E29:J29)</f>
        <v>0</v>
      </c>
      <c r="P29" s="12">
        <f t="shared" si="1"/>
        <v>0</v>
      </c>
    </row>
    <row r="30" spans="1:16" s="1" customFormat="1" ht="128" x14ac:dyDescent="0.2">
      <c r="A30" s="78" t="s">
        <v>312</v>
      </c>
      <c r="B30" s="14" t="s">
        <v>173</v>
      </c>
      <c r="C30" s="10"/>
      <c r="D30" s="11">
        <v>7.2</v>
      </c>
      <c r="O30" s="1">
        <f t="shared" ref="O30" si="6">SUM(E30:J30)</f>
        <v>0</v>
      </c>
      <c r="P30" s="12">
        <f t="shared" si="1"/>
        <v>0</v>
      </c>
    </row>
    <row r="31" spans="1:16" s="1" customFormat="1" ht="128" x14ac:dyDescent="0.2">
      <c r="A31" s="14" t="s">
        <v>172</v>
      </c>
      <c r="B31" s="14" t="s">
        <v>173</v>
      </c>
      <c r="C31" s="10"/>
      <c r="D31" s="11">
        <v>7.2</v>
      </c>
      <c r="O31" s="1">
        <f t="shared" ref="O31:O74" si="7">SUM(E31:J31)</f>
        <v>0</v>
      </c>
      <c r="P31" s="12">
        <f t="shared" si="1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7"/>
        <v>0</v>
      </c>
      <c r="P32" s="12">
        <f t="shared" si="1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7"/>
        <v>0</v>
      </c>
      <c r="P33" s="12">
        <f t="shared" si="1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7"/>
        <v>0</v>
      </c>
      <c r="P34" s="12">
        <f t="shared" si="1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7"/>
        <v>0</v>
      </c>
      <c r="P35" s="12">
        <f t="shared" si="1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7"/>
        <v>0</v>
      </c>
      <c r="P36" s="12">
        <f t="shared" ref="P36:P67" si="8">D36*O36</f>
        <v>0</v>
      </c>
    </row>
    <row r="37" spans="1:16" s="1" customFormat="1" ht="96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F37" s="1">
        <f>7*F3</f>
        <v>0</v>
      </c>
      <c r="H37" s="1">
        <f>8*H3</f>
        <v>0</v>
      </c>
      <c r="O37" s="1">
        <f t="shared" si="7"/>
        <v>0</v>
      </c>
      <c r="P37" s="12">
        <f t="shared" si="8"/>
        <v>0</v>
      </c>
    </row>
    <row r="38" spans="1:16" s="1" customFormat="1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1">
        <f>7*E3</f>
        <v>0</v>
      </c>
      <c r="G38" s="1">
        <f>8*G3</f>
        <v>0</v>
      </c>
      <c r="J38" s="1">
        <f>9*J3</f>
        <v>0</v>
      </c>
      <c r="O38" s="1">
        <f t="shared" si="7"/>
        <v>0</v>
      </c>
      <c r="P38" s="12">
        <f t="shared" si="8"/>
        <v>0</v>
      </c>
    </row>
    <row r="39" spans="1:16" s="1" customFormat="1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I39" s="1">
        <f>9*I3</f>
        <v>0</v>
      </c>
      <c r="O39" s="1">
        <f t="shared" si="7"/>
        <v>0</v>
      </c>
      <c r="P39" s="12">
        <f t="shared" si="8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7"/>
        <v>0</v>
      </c>
      <c r="P40" s="12">
        <f t="shared" si="8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7"/>
        <v>0</v>
      </c>
      <c r="P41" s="12">
        <f t="shared" si="8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7"/>
        <v>0</v>
      </c>
      <c r="P42" s="12">
        <f t="shared" si="8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7"/>
        <v>0</v>
      </c>
      <c r="P43" s="12">
        <f t="shared" si="8"/>
        <v>0</v>
      </c>
    </row>
    <row r="44" spans="1:16" s="1" customFormat="1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F44" s="1">
        <f>12*F3</f>
        <v>0</v>
      </c>
      <c r="H44" s="1">
        <f>14*H3</f>
        <v>0</v>
      </c>
      <c r="O44" s="1">
        <f t="shared" si="7"/>
        <v>0</v>
      </c>
      <c r="P44" s="12">
        <f t="shared" si="8"/>
        <v>0</v>
      </c>
    </row>
    <row r="45" spans="1:16" s="1" customFormat="1" ht="96" x14ac:dyDescent="0.2">
      <c r="A45" s="9" t="s">
        <v>13</v>
      </c>
      <c r="B45" s="9" t="s">
        <v>60</v>
      </c>
      <c r="C45" s="10"/>
      <c r="D45" s="11">
        <v>0.73</v>
      </c>
      <c r="E45" s="1">
        <f>12*E3</f>
        <v>0</v>
      </c>
      <c r="G45" s="1">
        <f>14*G3</f>
        <v>0</v>
      </c>
      <c r="J45" s="1">
        <f>16*J3</f>
        <v>0</v>
      </c>
      <c r="O45" s="1">
        <f t="shared" si="7"/>
        <v>0</v>
      </c>
      <c r="P45" s="12">
        <f t="shared" si="8"/>
        <v>0</v>
      </c>
    </row>
    <row r="46" spans="1:16" s="1" customFormat="1" ht="96" x14ac:dyDescent="0.2">
      <c r="A46" s="9" t="s">
        <v>135</v>
      </c>
      <c r="B46" s="9" t="s">
        <v>134</v>
      </c>
      <c r="C46" s="10"/>
      <c r="D46" s="11">
        <v>0.73</v>
      </c>
      <c r="I46" s="1">
        <f>16*I3</f>
        <v>0</v>
      </c>
      <c r="O46" s="1">
        <f t="shared" si="7"/>
        <v>0</v>
      </c>
      <c r="P46" s="12">
        <f t="shared" si="8"/>
        <v>0</v>
      </c>
    </row>
    <row r="47" spans="1:16" s="1" customFormat="1" ht="96" x14ac:dyDescent="0.2">
      <c r="A47" s="14" t="s">
        <v>14</v>
      </c>
      <c r="B47" s="14" t="s">
        <v>61</v>
      </c>
      <c r="C47" s="10"/>
      <c r="D47" s="11">
        <v>1.8620000000000001</v>
      </c>
      <c r="E47" s="1">
        <f t="shared" ref="E47:J47" si="9">1*E3</f>
        <v>0</v>
      </c>
      <c r="F47" s="1">
        <f t="shared" si="9"/>
        <v>0</v>
      </c>
      <c r="G47" s="1">
        <f t="shared" si="9"/>
        <v>0</v>
      </c>
      <c r="H47" s="1">
        <f t="shared" si="9"/>
        <v>0</v>
      </c>
      <c r="I47" s="1">
        <f t="shared" si="9"/>
        <v>0</v>
      </c>
      <c r="J47" s="1">
        <f t="shared" si="9"/>
        <v>0</v>
      </c>
      <c r="O47" s="1">
        <f t="shared" si="7"/>
        <v>0</v>
      </c>
      <c r="P47" s="12">
        <f t="shared" si="8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O48" s="1">
        <f t="shared" si="7"/>
        <v>0</v>
      </c>
      <c r="P48" s="12">
        <f t="shared" si="8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O49" s="1">
        <f t="shared" si="7"/>
        <v>0</v>
      </c>
      <c r="P49" s="12">
        <f t="shared" si="8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7"/>
        <v>0</v>
      </c>
      <c r="P50" s="12">
        <f t="shared" si="8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I51" s="1">
        <f>2*I3</f>
        <v>0</v>
      </c>
      <c r="J51" s="1">
        <f>2*J3</f>
        <v>0</v>
      </c>
      <c r="O51" s="1">
        <f t="shared" si="7"/>
        <v>0</v>
      </c>
      <c r="P51" s="12">
        <f t="shared" si="8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G52" s="1">
        <f>2*G3</f>
        <v>0</v>
      </c>
      <c r="H52" s="1">
        <f>2*H3</f>
        <v>0</v>
      </c>
      <c r="O52" s="1">
        <f t="shared" si="7"/>
        <v>0</v>
      </c>
      <c r="P52" s="12">
        <f t="shared" si="8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E53" s="1">
        <f>2*E3</f>
        <v>0</v>
      </c>
      <c r="F53" s="1">
        <f>2*F3</f>
        <v>0</v>
      </c>
      <c r="O53" s="1">
        <f t="shared" si="7"/>
        <v>0</v>
      </c>
      <c r="P53" s="12">
        <f t="shared" si="8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F54" s="1">
        <f>2*F3</f>
        <v>0</v>
      </c>
      <c r="H54" s="1">
        <f>2*H3</f>
        <v>0</v>
      </c>
      <c r="O54" s="1">
        <f t="shared" si="7"/>
        <v>0</v>
      </c>
      <c r="P54" s="12">
        <f t="shared" si="8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2*E3</f>
        <v>0</v>
      </c>
      <c r="G55" s="1">
        <f>2*G3</f>
        <v>0</v>
      </c>
      <c r="J55" s="1">
        <f>2*J3</f>
        <v>0</v>
      </c>
      <c r="O55" s="1">
        <f t="shared" si="7"/>
        <v>0</v>
      </c>
      <c r="P55" s="12">
        <f t="shared" si="8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I56" s="1">
        <f>2*I3</f>
        <v>0</v>
      </c>
      <c r="O56" s="1">
        <f t="shared" si="7"/>
        <v>0</v>
      </c>
      <c r="P56" s="12">
        <f t="shared" si="8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 t="shared" ref="E57:J57" si="10">2*E3</f>
        <v>0</v>
      </c>
      <c r="F57" s="1">
        <f t="shared" si="10"/>
        <v>0</v>
      </c>
      <c r="G57" s="1">
        <f t="shared" si="10"/>
        <v>0</v>
      </c>
      <c r="H57" s="1">
        <f t="shared" si="10"/>
        <v>0</v>
      </c>
      <c r="I57" s="1">
        <f t="shared" si="10"/>
        <v>0</v>
      </c>
      <c r="J57" s="1">
        <f t="shared" si="10"/>
        <v>0</v>
      </c>
      <c r="O57" s="1">
        <f t="shared" si="7"/>
        <v>0</v>
      </c>
      <c r="P57" s="12">
        <f t="shared" si="8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 t="shared" ref="E58:J58" si="11">2*E3</f>
        <v>0</v>
      </c>
      <c r="F58" s="1">
        <f t="shared" si="11"/>
        <v>0</v>
      </c>
      <c r="G58" s="1">
        <f t="shared" si="11"/>
        <v>0</v>
      </c>
      <c r="H58" s="1">
        <f t="shared" si="11"/>
        <v>0</v>
      </c>
      <c r="I58" s="1">
        <f t="shared" si="11"/>
        <v>0</v>
      </c>
      <c r="J58" s="1">
        <f t="shared" si="11"/>
        <v>0</v>
      </c>
      <c r="O58" s="1">
        <f t="shared" si="7"/>
        <v>0</v>
      </c>
      <c r="P58" s="12">
        <f t="shared" si="8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 t="shared" ref="E59:J59" si="12">2*E3</f>
        <v>0</v>
      </c>
      <c r="F59" s="1">
        <f t="shared" si="12"/>
        <v>0</v>
      </c>
      <c r="G59" s="1">
        <f t="shared" si="12"/>
        <v>0</v>
      </c>
      <c r="H59" s="1">
        <f t="shared" si="12"/>
        <v>0</v>
      </c>
      <c r="I59" s="1">
        <f t="shared" si="12"/>
        <v>0</v>
      </c>
      <c r="J59" s="1">
        <f t="shared" si="12"/>
        <v>0</v>
      </c>
      <c r="O59" s="1">
        <f t="shared" si="7"/>
        <v>0</v>
      </c>
      <c r="P59" s="12">
        <f t="shared" si="8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 t="shared" ref="E60:J60" si="13">2*E3</f>
        <v>0</v>
      </c>
      <c r="F60" s="1">
        <f t="shared" si="13"/>
        <v>0</v>
      </c>
      <c r="G60" s="1">
        <f t="shared" si="13"/>
        <v>0</v>
      </c>
      <c r="H60" s="1">
        <f t="shared" si="13"/>
        <v>0</v>
      </c>
      <c r="I60" s="1">
        <f t="shared" si="13"/>
        <v>0</v>
      </c>
      <c r="J60" s="1">
        <f t="shared" si="13"/>
        <v>0</v>
      </c>
      <c r="O60" s="1">
        <f t="shared" si="7"/>
        <v>0</v>
      </c>
      <c r="P60" s="12">
        <f t="shared" si="8"/>
        <v>0</v>
      </c>
    </row>
    <row r="61" spans="1:16" s="1" customFormat="1" ht="96" x14ac:dyDescent="0.2">
      <c r="A61" s="14" t="s">
        <v>26</v>
      </c>
      <c r="B61" s="14" t="s">
        <v>72</v>
      </c>
      <c r="C61" s="10"/>
      <c r="D61" s="11">
        <v>3.49</v>
      </c>
      <c r="O61" s="1">
        <f t="shared" si="7"/>
        <v>0</v>
      </c>
      <c r="P61" s="12">
        <f t="shared" si="8"/>
        <v>0</v>
      </c>
    </row>
    <row r="62" spans="1:16" s="1" customFormat="1" ht="224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O62" s="1">
        <f t="shared" si="7"/>
        <v>0</v>
      </c>
      <c r="P62" s="12">
        <f t="shared" si="8"/>
        <v>0</v>
      </c>
    </row>
    <row r="63" spans="1:16" s="1" customFormat="1" ht="224" x14ac:dyDescent="0.2">
      <c r="A63" s="14" t="s">
        <v>28</v>
      </c>
      <c r="B63" s="14" t="s">
        <v>74</v>
      </c>
      <c r="C63" s="10" t="s">
        <v>96</v>
      </c>
      <c r="D63" s="11">
        <v>6.8</v>
      </c>
      <c r="O63" s="1">
        <f t="shared" si="7"/>
        <v>0</v>
      </c>
      <c r="P63" s="12">
        <f t="shared" si="8"/>
        <v>0</v>
      </c>
    </row>
    <row r="64" spans="1:16" s="1" customFormat="1" ht="96" x14ac:dyDescent="0.2">
      <c r="A64" s="14" t="s">
        <v>29</v>
      </c>
      <c r="B64" s="14" t="s">
        <v>75</v>
      </c>
      <c r="C64" s="10"/>
      <c r="D64" s="11">
        <v>1.1399999999999999</v>
      </c>
      <c r="E64" s="1">
        <f>2*E3</f>
        <v>0</v>
      </c>
      <c r="F64" s="1">
        <f>2*F3</f>
        <v>0</v>
      </c>
      <c r="G64" s="1">
        <f>2*G3</f>
        <v>0</v>
      </c>
      <c r="H64" s="1">
        <f>2*H3</f>
        <v>0</v>
      </c>
      <c r="J64" s="1">
        <f>2*J3</f>
        <v>0</v>
      </c>
      <c r="O64" s="1">
        <f t="shared" si="7"/>
        <v>0</v>
      </c>
      <c r="P64" s="12">
        <f t="shared" si="8"/>
        <v>0</v>
      </c>
    </row>
    <row r="65" spans="1:16" s="1" customFormat="1" ht="64" x14ac:dyDescent="0.2">
      <c r="A65" s="14" t="s">
        <v>30</v>
      </c>
      <c r="B65" s="14" t="s">
        <v>76</v>
      </c>
      <c r="C65" s="10"/>
      <c r="D65" s="11">
        <v>1.22</v>
      </c>
      <c r="O65" s="1">
        <f t="shared" si="7"/>
        <v>0</v>
      </c>
      <c r="P65" s="12">
        <f t="shared" si="8"/>
        <v>0</v>
      </c>
    </row>
    <row r="66" spans="1:16" s="1" customFormat="1" ht="64" x14ac:dyDescent="0.2">
      <c r="A66" s="14" t="s">
        <v>31</v>
      </c>
      <c r="B66" s="14" t="s">
        <v>187</v>
      </c>
      <c r="C66" s="10"/>
      <c r="D66" s="11">
        <v>2.15</v>
      </c>
      <c r="O66" s="1">
        <f t="shared" si="7"/>
        <v>0</v>
      </c>
      <c r="P66" s="12">
        <f t="shared" si="8"/>
        <v>0</v>
      </c>
    </row>
    <row r="67" spans="1:16" s="1" customFormat="1" ht="96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7"/>
        <v>0</v>
      </c>
      <c r="P67" s="12">
        <f t="shared" si="8"/>
        <v>0</v>
      </c>
    </row>
    <row r="68" spans="1:16" s="1" customFormat="1" ht="96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7"/>
        <v>0</v>
      </c>
      <c r="P68" s="12">
        <f t="shared" ref="P68:P90" si="14">D68*O68</f>
        <v>0</v>
      </c>
    </row>
    <row r="69" spans="1:16" s="1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I69" s="1">
        <f>1*I3</f>
        <v>0</v>
      </c>
      <c r="J69" s="1">
        <f>1*J3</f>
        <v>0</v>
      </c>
      <c r="O69" s="1">
        <f t="shared" si="7"/>
        <v>0</v>
      </c>
      <c r="P69" s="12">
        <f t="shared" si="14"/>
        <v>0</v>
      </c>
    </row>
    <row r="70" spans="1:16" s="1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I70" s="1">
        <f>1*I3</f>
        <v>0</v>
      </c>
      <c r="J70" s="1">
        <f>1*J3</f>
        <v>0</v>
      </c>
      <c r="O70" s="1">
        <f t="shared" si="7"/>
        <v>0</v>
      </c>
      <c r="P70" s="12">
        <f t="shared" si="14"/>
        <v>0</v>
      </c>
    </row>
    <row r="71" spans="1:16" s="1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G71" s="1">
        <f>1*G3</f>
        <v>0</v>
      </c>
      <c r="H71" s="1">
        <f>1*H3</f>
        <v>0</v>
      </c>
      <c r="O71" s="1">
        <f t="shared" si="7"/>
        <v>0</v>
      </c>
      <c r="P71" s="12">
        <f t="shared" si="14"/>
        <v>0</v>
      </c>
    </row>
    <row r="72" spans="1:16" s="1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G72" s="1">
        <f>1*G3</f>
        <v>0</v>
      </c>
      <c r="H72" s="1">
        <f>1*H3</f>
        <v>0</v>
      </c>
      <c r="O72" s="1">
        <f t="shared" si="7"/>
        <v>0</v>
      </c>
      <c r="P72" s="12">
        <f t="shared" si="14"/>
        <v>0</v>
      </c>
    </row>
    <row r="73" spans="1:16" s="1" customFormat="1" ht="96" x14ac:dyDescent="0.2">
      <c r="A73" s="14" t="s">
        <v>34</v>
      </c>
      <c r="B73" s="14" t="s">
        <v>79</v>
      </c>
      <c r="C73" s="10"/>
      <c r="D73" s="11">
        <v>3.3879999999999999</v>
      </c>
      <c r="E73" s="1">
        <f>1*E3</f>
        <v>0</v>
      </c>
      <c r="F73" s="1">
        <f>1*F3</f>
        <v>0</v>
      </c>
      <c r="O73" s="1">
        <f t="shared" si="7"/>
        <v>0</v>
      </c>
      <c r="P73" s="12">
        <f t="shared" si="14"/>
        <v>0</v>
      </c>
    </row>
    <row r="74" spans="1:16" s="1" customFormat="1" ht="96" x14ac:dyDescent="0.2">
      <c r="A74" s="14" t="s">
        <v>35</v>
      </c>
      <c r="B74" s="14" t="s">
        <v>80</v>
      </c>
      <c r="C74" s="10"/>
      <c r="D74" s="11">
        <v>3.3879999999999999</v>
      </c>
      <c r="E74" s="1">
        <f>1*E3</f>
        <v>0</v>
      </c>
      <c r="F74" s="1">
        <f>1*F3</f>
        <v>0</v>
      </c>
      <c r="O74" s="1">
        <f t="shared" si="7"/>
        <v>0</v>
      </c>
      <c r="P74" s="12">
        <f t="shared" si="14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ref="O75:O90" si="15">SUM(E75:J75)</f>
        <v>0</v>
      </c>
      <c r="P75" s="12">
        <f t="shared" si="14"/>
        <v>0</v>
      </c>
    </row>
    <row r="76" spans="1:16" s="1" customFormat="1" ht="96" x14ac:dyDescent="0.2">
      <c r="A76" s="14" t="s">
        <v>37</v>
      </c>
      <c r="B76" s="14" t="s">
        <v>82</v>
      </c>
      <c r="C76" s="10"/>
      <c r="D76" s="11">
        <v>2.702</v>
      </c>
      <c r="E76" s="1">
        <f>1*E3</f>
        <v>0</v>
      </c>
      <c r="F76" s="1">
        <f t="shared" ref="F76:J76" si="16">1*F3</f>
        <v>0</v>
      </c>
      <c r="G76" s="1">
        <f t="shared" si="16"/>
        <v>0</v>
      </c>
      <c r="H76" s="1">
        <f t="shared" si="16"/>
        <v>0</v>
      </c>
      <c r="I76" s="1">
        <f t="shared" si="16"/>
        <v>0</v>
      </c>
      <c r="J76" s="1">
        <f t="shared" si="16"/>
        <v>0</v>
      </c>
      <c r="O76" s="1">
        <f t="shared" si="15"/>
        <v>0</v>
      </c>
      <c r="P76" s="12">
        <f t="shared" si="14"/>
        <v>0</v>
      </c>
    </row>
    <row r="77" spans="1:16" s="1" customFormat="1" ht="96" x14ac:dyDescent="0.2">
      <c r="A77" s="14" t="s">
        <v>38</v>
      </c>
      <c r="B77" s="14" t="s">
        <v>83</v>
      </c>
      <c r="C77" s="10"/>
      <c r="D77" s="11">
        <v>0.68599999999999994</v>
      </c>
      <c r="F77" s="1">
        <f>1*F3</f>
        <v>0</v>
      </c>
      <c r="H77" s="1">
        <f>1*H3</f>
        <v>0</v>
      </c>
      <c r="O77" s="1">
        <f t="shared" si="15"/>
        <v>0</v>
      </c>
      <c r="P77" s="12">
        <f t="shared" si="14"/>
        <v>0</v>
      </c>
    </row>
    <row r="78" spans="1:16" s="1" customFormat="1" ht="96" x14ac:dyDescent="0.2">
      <c r="A78" s="14" t="s">
        <v>39</v>
      </c>
      <c r="B78" s="14" t="s">
        <v>84</v>
      </c>
      <c r="C78" s="10"/>
      <c r="D78" s="11">
        <v>0.68599999999999994</v>
      </c>
      <c r="F78" s="1">
        <f>1*F3</f>
        <v>0</v>
      </c>
      <c r="H78" s="1">
        <f>1*H3</f>
        <v>0</v>
      </c>
      <c r="O78" s="1">
        <f t="shared" si="15"/>
        <v>0</v>
      </c>
      <c r="P78" s="12">
        <f t="shared" si="14"/>
        <v>0</v>
      </c>
    </row>
    <row r="79" spans="1:16" s="1" customFormat="1" ht="96" x14ac:dyDescent="0.2">
      <c r="A79" s="14" t="s">
        <v>40</v>
      </c>
      <c r="B79" s="14" t="s">
        <v>85</v>
      </c>
      <c r="C79" s="10"/>
      <c r="D79" s="11">
        <v>0.98</v>
      </c>
      <c r="E79" s="1">
        <f>1*E3</f>
        <v>0</v>
      </c>
      <c r="G79" s="1">
        <f>1*G3</f>
        <v>0</v>
      </c>
      <c r="J79" s="1">
        <f>1*J3</f>
        <v>0</v>
      </c>
      <c r="O79" s="1">
        <f t="shared" si="15"/>
        <v>0</v>
      </c>
      <c r="P79" s="12">
        <f t="shared" si="14"/>
        <v>0</v>
      </c>
    </row>
    <row r="80" spans="1:16" s="1" customFormat="1" ht="96" x14ac:dyDescent="0.2">
      <c r="A80" s="14" t="s">
        <v>41</v>
      </c>
      <c r="B80" s="15" t="s">
        <v>254</v>
      </c>
      <c r="C80" s="16"/>
      <c r="D80" s="11">
        <v>0.98</v>
      </c>
      <c r="E80" s="1">
        <f>1*E3</f>
        <v>0</v>
      </c>
      <c r="G80" s="1">
        <f>1*G3</f>
        <v>0</v>
      </c>
      <c r="J80" s="1">
        <f>1*J3</f>
        <v>0</v>
      </c>
      <c r="O80" s="1">
        <f t="shared" si="15"/>
        <v>0</v>
      </c>
      <c r="P80" s="12">
        <f t="shared" si="14"/>
        <v>0</v>
      </c>
    </row>
    <row r="81" spans="1:16" s="1" customFormat="1" ht="96" x14ac:dyDescent="0.2">
      <c r="A81" s="14" t="s">
        <v>136</v>
      </c>
      <c r="B81" s="14" t="s">
        <v>132</v>
      </c>
      <c r="C81" s="10"/>
      <c r="D81" s="11">
        <v>0.98</v>
      </c>
      <c r="I81" s="1">
        <f>1*I3</f>
        <v>0</v>
      </c>
      <c r="O81" s="1">
        <f t="shared" si="15"/>
        <v>0</v>
      </c>
      <c r="P81" s="12">
        <f t="shared" si="14"/>
        <v>0</v>
      </c>
    </row>
    <row r="82" spans="1:16" s="1" customFormat="1" ht="96" x14ac:dyDescent="0.2">
      <c r="A82" s="14" t="s">
        <v>137</v>
      </c>
      <c r="B82" s="15" t="s">
        <v>255</v>
      </c>
      <c r="C82" s="16"/>
      <c r="D82" s="11">
        <v>0.98</v>
      </c>
      <c r="I82" s="1">
        <f>1*I3</f>
        <v>0</v>
      </c>
      <c r="O82" s="1">
        <f t="shared" si="15"/>
        <v>0</v>
      </c>
      <c r="P82" s="12">
        <f t="shared" si="14"/>
        <v>0</v>
      </c>
    </row>
    <row r="83" spans="1:16" s="1" customFormat="1" ht="160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15"/>
        <v>0</v>
      </c>
      <c r="P83" s="12">
        <f t="shared" si="14"/>
        <v>0</v>
      </c>
    </row>
    <row r="84" spans="1:16" s="1" customFormat="1" ht="384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15"/>
        <v>0</v>
      </c>
      <c r="P84" s="12">
        <f t="shared" si="14"/>
        <v>0</v>
      </c>
    </row>
    <row r="85" spans="1:16" s="1" customFormat="1" ht="384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15"/>
        <v>0</v>
      </c>
      <c r="P85" s="12">
        <f t="shared" si="14"/>
        <v>0</v>
      </c>
    </row>
    <row r="86" spans="1:16" s="1" customFormat="1" ht="384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15"/>
        <v>0</v>
      </c>
      <c r="P86" s="12">
        <f t="shared" si="14"/>
        <v>0</v>
      </c>
    </row>
    <row r="87" spans="1:16" s="1" customFormat="1" ht="160" x14ac:dyDescent="0.2">
      <c r="A87" s="14" t="s">
        <v>180</v>
      </c>
      <c r="B87" s="10" t="s">
        <v>181</v>
      </c>
      <c r="C87" s="10"/>
      <c r="D87" s="11">
        <v>0.75</v>
      </c>
      <c r="O87" s="1">
        <f t="shared" si="15"/>
        <v>0</v>
      </c>
      <c r="P87" s="12">
        <f t="shared" si="14"/>
        <v>0</v>
      </c>
    </row>
    <row r="88" spans="1:16" s="1" customFormat="1" ht="160" x14ac:dyDescent="0.2">
      <c r="A88" s="14" t="s">
        <v>182</v>
      </c>
      <c r="B88" s="10" t="s">
        <v>183</v>
      </c>
      <c r="C88" s="10"/>
      <c r="D88" s="11">
        <v>0.75</v>
      </c>
      <c r="O88" s="1">
        <f t="shared" si="15"/>
        <v>0</v>
      </c>
      <c r="P88" s="12">
        <f t="shared" si="14"/>
        <v>0</v>
      </c>
    </row>
    <row r="89" spans="1:16" s="1" customFormat="1" ht="160" x14ac:dyDescent="0.2">
      <c r="A89" s="14" t="s">
        <v>184</v>
      </c>
      <c r="B89" s="10" t="s">
        <v>185</v>
      </c>
      <c r="C89" s="10"/>
      <c r="D89" s="11">
        <v>0.75</v>
      </c>
      <c r="O89" s="1">
        <f t="shared" si="15"/>
        <v>0</v>
      </c>
      <c r="P89" s="12">
        <f t="shared" si="14"/>
        <v>0</v>
      </c>
    </row>
    <row r="90" spans="1:16" s="1" customFormat="1" ht="160" x14ac:dyDescent="0.2">
      <c r="A90" s="14" t="s">
        <v>186</v>
      </c>
      <c r="B90" s="14" t="s">
        <v>256</v>
      </c>
      <c r="C90" s="10"/>
      <c r="D90" s="11">
        <v>0.75</v>
      </c>
      <c r="O90" s="1">
        <f t="shared" si="15"/>
        <v>0</v>
      </c>
      <c r="P90" s="12">
        <f t="shared" si="14"/>
        <v>0</v>
      </c>
    </row>
    <row r="91" spans="1:16" s="1" customFormat="1" ht="56" customHeight="1" x14ac:dyDescent="0.2"/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  <ignoredErrors>
    <ignoredError sqref="O4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7D1D-7FB0-CC41-862C-950EDC7C6463}">
  <sheetPr>
    <tabColor theme="4"/>
  </sheetPr>
  <dimension ref="A1:R92"/>
  <sheetViews>
    <sheetView topLeftCell="E1" zoomScale="50" workbookViewId="0">
      <selection activeCell="F3" sqref="F3"/>
    </sheetView>
  </sheetViews>
  <sheetFormatPr baseColWidth="10" defaultRowHeight="16" x14ac:dyDescent="0.2"/>
  <cols>
    <col min="1" max="1" width="44.1640625" customWidth="1"/>
    <col min="2" max="2" width="45.5" customWidth="1"/>
    <col min="3" max="3" width="38.33203125" customWidth="1"/>
    <col min="4" max="4" width="45.33203125" customWidth="1"/>
    <col min="5" max="5" width="53.6640625" customWidth="1"/>
    <col min="6" max="6" width="56" customWidth="1"/>
    <col min="7" max="7" width="50.83203125" customWidth="1"/>
    <col min="8" max="8" width="45.33203125" customWidth="1"/>
    <col min="9" max="9" width="53.6640625" customWidth="1"/>
    <col min="10" max="10" width="45.33203125" customWidth="1"/>
    <col min="11" max="11" width="4.1640625" customWidth="1"/>
    <col min="12" max="12" width="5.1640625" customWidth="1"/>
    <col min="13" max="13" width="4.6640625" customWidth="1"/>
    <col min="14" max="14" width="4.83203125" customWidth="1"/>
    <col min="15" max="15" width="21.6640625" customWidth="1"/>
    <col min="16" max="16" width="32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301</v>
      </c>
      <c r="F1" s="4" t="s">
        <v>302</v>
      </c>
      <c r="G1" s="4" t="s">
        <v>303</v>
      </c>
      <c r="H1" s="4" t="s">
        <v>317</v>
      </c>
      <c r="I1" s="4" t="s">
        <v>318</v>
      </c>
      <c r="J1" s="4" t="s">
        <v>319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128" x14ac:dyDescent="0.35">
      <c r="A10" s="9" t="s">
        <v>2</v>
      </c>
      <c r="B10" s="9" t="s">
        <v>48</v>
      </c>
      <c r="C10" s="10" t="s">
        <v>90</v>
      </c>
      <c r="D10" s="11">
        <v>2.4472</v>
      </c>
      <c r="O10" s="1">
        <f t="shared" si="1"/>
        <v>0</v>
      </c>
      <c r="P10" s="12">
        <f t="shared" si="0"/>
        <v>0</v>
      </c>
    </row>
    <row r="11" spans="1:18" s="1" customFormat="1" ht="128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O11" s="1">
        <f t="shared" si="1"/>
        <v>0</v>
      </c>
      <c r="P11" s="12">
        <f t="shared" si="0"/>
        <v>0</v>
      </c>
    </row>
    <row r="12" spans="1:18" s="1" customFormat="1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G12" s="1">
        <f>1*G3</f>
        <v>0</v>
      </c>
      <c r="O12" s="1">
        <f t="shared" si="1"/>
        <v>0</v>
      </c>
      <c r="P12" s="12">
        <f t="shared" si="0"/>
        <v>0</v>
      </c>
    </row>
    <row r="13" spans="1:18" s="1" customFormat="1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F13" s="1">
        <f>1*F3</f>
        <v>0</v>
      </c>
      <c r="O13" s="1">
        <f t="shared" si="1"/>
        <v>0</v>
      </c>
      <c r="P13" s="12">
        <f t="shared" si="0"/>
        <v>0</v>
      </c>
    </row>
    <row r="14" spans="1:18" s="1" customFormat="1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1">
        <f>1*E3</f>
        <v>0</v>
      </c>
      <c r="O14" s="1">
        <f t="shared" si="1"/>
        <v>0</v>
      </c>
      <c r="P14" s="12">
        <f t="shared" si="0"/>
        <v>0</v>
      </c>
    </row>
    <row r="15" spans="1:18" s="1" customFormat="1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J15" s="1">
        <f>1*J3</f>
        <v>0</v>
      </c>
      <c r="O15" s="1">
        <f t="shared" si="1"/>
        <v>0</v>
      </c>
      <c r="P15" s="12">
        <f t="shared" si="0"/>
        <v>0</v>
      </c>
    </row>
    <row r="16" spans="1:18" s="1" customFormat="1" ht="128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I16" s="1">
        <f>1*I3</f>
        <v>0</v>
      </c>
      <c r="O16" s="1">
        <f t="shared" si="1"/>
        <v>0</v>
      </c>
      <c r="P16" s="12">
        <f t="shared" si="0"/>
        <v>0</v>
      </c>
    </row>
    <row r="17" spans="1:16" s="1" customFormat="1" ht="128" x14ac:dyDescent="0.35">
      <c r="A17" s="9" t="s">
        <v>311</v>
      </c>
      <c r="B17" s="9" t="s">
        <v>307</v>
      </c>
      <c r="C17" s="10" t="s">
        <v>91</v>
      </c>
      <c r="D17" s="11">
        <v>4.0571999999999999</v>
      </c>
      <c r="H17" s="1">
        <f>1*H3</f>
        <v>0</v>
      </c>
      <c r="O17" s="1">
        <f t="shared" si="1"/>
        <v>0</v>
      </c>
      <c r="P17" s="12">
        <f t="shared" si="0"/>
        <v>0</v>
      </c>
    </row>
    <row r="18" spans="1:16" s="1" customFormat="1" ht="128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O18" s="1">
        <f t="shared" si="1"/>
        <v>0</v>
      </c>
      <c r="P18" s="12">
        <f t="shared" si="0"/>
        <v>0</v>
      </c>
    </row>
    <row r="19" spans="1:16" s="1" customFormat="1" ht="128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128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O20" s="1">
        <f t="shared" si="1"/>
        <v>0</v>
      </c>
      <c r="P20" s="12">
        <f t="shared" si="0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E24" s="1">
        <f>2*E3</f>
        <v>0</v>
      </c>
      <c r="F24" s="1">
        <f t="shared" ref="F24:J24" si="2">2*F3</f>
        <v>0</v>
      </c>
      <c r="G24" s="1">
        <f t="shared" si="2"/>
        <v>0</v>
      </c>
      <c r="H24" s="1">
        <f t="shared" si="2"/>
        <v>0</v>
      </c>
      <c r="I24" s="1">
        <f t="shared" si="2"/>
        <v>0</v>
      </c>
      <c r="J24" s="1">
        <f t="shared" si="2"/>
        <v>0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E25" s="1">
        <f>6*E3</f>
        <v>0</v>
      </c>
      <c r="F25" s="1">
        <f t="shared" ref="F25:J25" si="3">6*F3</f>
        <v>0</v>
      </c>
      <c r="G25" s="1">
        <f t="shared" si="3"/>
        <v>0</v>
      </c>
      <c r="H25" s="1">
        <f t="shared" si="3"/>
        <v>0</v>
      </c>
      <c r="I25" s="1">
        <f t="shared" si="3"/>
        <v>0</v>
      </c>
      <c r="J25" s="1">
        <f t="shared" si="3"/>
        <v>0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G26" s="1">
        <f>4*G3</f>
        <v>0</v>
      </c>
      <c r="J26" s="1">
        <f>4*J3</f>
        <v>0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14" t="s">
        <v>168</v>
      </c>
      <c r="B27" s="14" t="s">
        <v>169</v>
      </c>
      <c r="C27" s="10"/>
      <c r="D27" s="11">
        <v>7.2</v>
      </c>
      <c r="F27" s="1">
        <f>4*F3</f>
        <v>0</v>
      </c>
      <c r="I27" s="1">
        <f>4*I3</f>
        <v>0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14" t="s">
        <v>313</v>
      </c>
      <c r="B28" s="14" t="s">
        <v>315</v>
      </c>
      <c r="C28" s="10"/>
      <c r="D28" s="11">
        <v>7.2</v>
      </c>
      <c r="E28" s="1">
        <f>4*E3</f>
        <v>0</v>
      </c>
      <c r="H28" s="1">
        <f>4*H3</f>
        <v>0</v>
      </c>
      <c r="O28" s="1">
        <f t="shared" si="1"/>
        <v>0</v>
      </c>
      <c r="P28" s="12">
        <f t="shared" si="0"/>
        <v>0</v>
      </c>
    </row>
    <row r="29" spans="1:16" s="1" customFormat="1" ht="128" x14ac:dyDescent="0.2">
      <c r="A29" s="14" t="s">
        <v>170</v>
      </c>
      <c r="B29" s="14" t="s">
        <v>171</v>
      </c>
      <c r="C29" s="10"/>
      <c r="D29" s="11">
        <v>7.2</v>
      </c>
      <c r="E29" s="1">
        <f>1*E3</f>
        <v>0</v>
      </c>
      <c r="F29" s="1">
        <f t="shared" ref="F29:G29" si="4">1*F3</f>
        <v>0</v>
      </c>
      <c r="G29" s="1">
        <f t="shared" si="4"/>
        <v>0</v>
      </c>
      <c r="O29" s="1">
        <f t="shared" si="1"/>
        <v>0</v>
      </c>
      <c r="P29" s="12">
        <f t="shared" si="0"/>
        <v>0</v>
      </c>
    </row>
    <row r="30" spans="1:16" s="1" customFormat="1" ht="128" x14ac:dyDescent="0.2">
      <c r="A30" s="14" t="s">
        <v>172</v>
      </c>
      <c r="B30" s="14" t="s">
        <v>173</v>
      </c>
      <c r="C30" s="10"/>
      <c r="D30" s="11">
        <v>7.2</v>
      </c>
      <c r="H30" s="1">
        <f>1*H3</f>
        <v>0</v>
      </c>
      <c r="I30" s="1">
        <f t="shared" ref="I30:J30" si="5">1*I3</f>
        <v>0</v>
      </c>
      <c r="J30" s="1">
        <f t="shared" si="5"/>
        <v>0</v>
      </c>
      <c r="O30" s="1">
        <f t="shared" si="1"/>
        <v>0</v>
      </c>
      <c r="P30" s="12">
        <f t="shared" si="0"/>
        <v>0</v>
      </c>
    </row>
    <row r="31" spans="1:16" s="1" customFormat="1" ht="128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6">D36*O36</f>
        <v>0</v>
      </c>
    </row>
    <row r="37" spans="1:16" s="1" customFormat="1" ht="96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6"/>
        <v>0</v>
      </c>
    </row>
    <row r="38" spans="1:16" s="1" customFormat="1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6"/>
        <v>0</v>
      </c>
    </row>
    <row r="39" spans="1:16" s="1" customFormat="1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6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6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6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6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6"/>
        <v>0</v>
      </c>
    </row>
    <row r="44" spans="1:16" s="1" customFormat="1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O44" s="1">
        <f t="shared" si="1"/>
        <v>0</v>
      </c>
      <c r="P44" s="12">
        <f t="shared" si="6"/>
        <v>0</v>
      </c>
    </row>
    <row r="45" spans="1:16" s="1" customFormat="1" ht="96" x14ac:dyDescent="0.2">
      <c r="A45" s="9" t="s">
        <v>13</v>
      </c>
      <c r="B45" s="9" t="s">
        <v>60</v>
      </c>
      <c r="C45" s="10"/>
      <c r="D45" s="11">
        <v>0.73</v>
      </c>
      <c r="O45" s="1">
        <f t="shared" si="1"/>
        <v>0</v>
      </c>
      <c r="P45" s="12">
        <f t="shared" si="6"/>
        <v>0</v>
      </c>
    </row>
    <row r="46" spans="1:16" s="1" customFormat="1" ht="96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6"/>
        <v>0</v>
      </c>
    </row>
    <row r="47" spans="1:16" s="1" customFormat="1" ht="96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6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O48" s="1">
        <f t="shared" si="1"/>
        <v>0</v>
      </c>
      <c r="P48" s="12">
        <f t="shared" si="6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O49" s="1">
        <f t="shared" si="1"/>
        <v>0</v>
      </c>
      <c r="P49" s="12">
        <f t="shared" si="6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6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6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O52" s="1">
        <f t="shared" si="1"/>
        <v>0</v>
      </c>
      <c r="P52" s="12">
        <f t="shared" si="6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O53" s="1">
        <f t="shared" si="1"/>
        <v>0</v>
      </c>
      <c r="P53" s="12">
        <f t="shared" si="6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O54" s="1">
        <f t="shared" si="1"/>
        <v>0</v>
      </c>
      <c r="P54" s="12">
        <f t="shared" si="6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O55" s="1">
        <f t="shared" si="1"/>
        <v>0</v>
      </c>
      <c r="P55" s="12">
        <f t="shared" si="6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6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O57" s="1">
        <f t="shared" si="1"/>
        <v>0</v>
      </c>
      <c r="P57" s="12">
        <f t="shared" si="6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O58" s="1">
        <f t="shared" si="1"/>
        <v>0</v>
      </c>
      <c r="P58" s="12">
        <f t="shared" si="6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O59" s="1">
        <f t="shared" si="1"/>
        <v>0</v>
      </c>
      <c r="P59" s="12">
        <f t="shared" si="6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O60" s="1">
        <f t="shared" si="1"/>
        <v>0</v>
      </c>
      <c r="P60" s="12">
        <f t="shared" si="6"/>
        <v>0</v>
      </c>
    </row>
    <row r="61" spans="1:16" s="1" customFormat="1" ht="96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6"/>
        <v>0</v>
      </c>
    </row>
    <row r="62" spans="1:16" s="1" customFormat="1" ht="224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O62" s="1">
        <f t="shared" si="1"/>
        <v>0</v>
      </c>
      <c r="P62" s="12">
        <f t="shared" si="6"/>
        <v>0</v>
      </c>
    </row>
    <row r="63" spans="1:16" s="1" customFormat="1" ht="224" x14ac:dyDescent="0.2">
      <c r="A63" s="14" t="s">
        <v>28</v>
      </c>
      <c r="B63" s="14" t="s">
        <v>74</v>
      </c>
      <c r="C63" s="10" t="s">
        <v>96</v>
      </c>
      <c r="D63" s="11">
        <v>6.8</v>
      </c>
      <c r="O63" s="1">
        <f t="shared" si="1"/>
        <v>0</v>
      </c>
      <c r="P63" s="12">
        <f t="shared" si="6"/>
        <v>0</v>
      </c>
    </row>
    <row r="64" spans="1:16" s="1" customFormat="1" ht="96" x14ac:dyDescent="0.2">
      <c r="A64" s="14" t="s">
        <v>29</v>
      </c>
      <c r="B64" s="14" t="s">
        <v>75</v>
      </c>
      <c r="C64" s="10"/>
      <c r="D64" s="11">
        <v>1.1399999999999999</v>
      </c>
      <c r="O64" s="1">
        <f t="shared" si="1"/>
        <v>0</v>
      </c>
      <c r="P64" s="12">
        <f t="shared" si="6"/>
        <v>0</v>
      </c>
    </row>
    <row r="65" spans="1:16" s="1" customFormat="1" ht="64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6"/>
        <v>0</v>
      </c>
    </row>
    <row r="66" spans="1:16" s="1" customFormat="1" ht="64" x14ac:dyDescent="0.2">
      <c r="A66" s="14" t="s">
        <v>31</v>
      </c>
      <c r="B66" s="14" t="s">
        <v>187</v>
      </c>
      <c r="C66" s="10"/>
      <c r="D66" s="11">
        <v>2.15</v>
      </c>
      <c r="O66" s="1">
        <f t="shared" si="1"/>
        <v>0</v>
      </c>
      <c r="P66" s="12">
        <f t="shared" si="6"/>
        <v>0</v>
      </c>
    </row>
    <row r="67" spans="1:16" s="1" customFormat="1" ht="96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6"/>
        <v>0</v>
      </c>
    </row>
    <row r="68" spans="1:16" s="1" customFormat="1" ht="96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7">D68*O68</f>
        <v>0</v>
      </c>
    </row>
    <row r="69" spans="1:16" s="1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0" si="8">SUM(E69:J69)</f>
        <v>0</v>
      </c>
      <c r="P69" s="12">
        <f t="shared" si="7"/>
        <v>0</v>
      </c>
    </row>
    <row r="70" spans="1:16" s="1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8"/>
        <v>0</v>
      </c>
      <c r="P70" s="12">
        <f t="shared" si="7"/>
        <v>0</v>
      </c>
    </row>
    <row r="71" spans="1:16" s="1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O71" s="1">
        <f t="shared" si="8"/>
        <v>0</v>
      </c>
      <c r="P71" s="12">
        <f t="shared" si="7"/>
        <v>0</v>
      </c>
    </row>
    <row r="72" spans="1:16" s="1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O72" s="1">
        <f t="shared" si="8"/>
        <v>0</v>
      </c>
      <c r="P72" s="12">
        <f t="shared" si="7"/>
        <v>0</v>
      </c>
    </row>
    <row r="73" spans="1:16" s="1" customFormat="1" ht="96" x14ac:dyDescent="0.2">
      <c r="A73" s="14" t="s">
        <v>34</v>
      </c>
      <c r="B73" s="14" t="s">
        <v>79</v>
      </c>
      <c r="C73" s="10"/>
      <c r="D73" s="11">
        <v>3.3879999999999999</v>
      </c>
      <c r="O73" s="1">
        <f t="shared" si="8"/>
        <v>0</v>
      </c>
      <c r="P73" s="12">
        <f t="shared" si="7"/>
        <v>0</v>
      </c>
    </row>
    <row r="74" spans="1:16" s="1" customFormat="1" ht="96" x14ac:dyDescent="0.2">
      <c r="A74" s="14" t="s">
        <v>35</v>
      </c>
      <c r="B74" s="14" t="s">
        <v>80</v>
      </c>
      <c r="C74" s="10"/>
      <c r="D74" s="11">
        <v>3.3879999999999999</v>
      </c>
      <c r="O74" s="1">
        <f t="shared" si="8"/>
        <v>0</v>
      </c>
      <c r="P74" s="12">
        <f t="shared" si="7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8"/>
        <v>0</v>
      </c>
      <c r="P75" s="12">
        <f t="shared" si="7"/>
        <v>0</v>
      </c>
    </row>
    <row r="76" spans="1:16" s="1" customFormat="1" ht="96" x14ac:dyDescent="0.2">
      <c r="A76" s="14" t="s">
        <v>37</v>
      </c>
      <c r="B76" s="14" t="s">
        <v>82</v>
      </c>
      <c r="C76" s="10"/>
      <c r="D76" s="11">
        <v>2.702</v>
      </c>
      <c r="O76" s="1">
        <f t="shared" si="8"/>
        <v>0</v>
      </c>
      <c r="P76" s="12">
        <f t="shared" si="7"/>
        <v>0</v>
      </c>
    </row>
    <row r="77" spans="1:16" s="1" customFormat="1" ht="96" x14ac:dyDescent="0.2">
      <c r="A77" s="14" t="s">
        <v>38</v>
      </c>
      <c r="B77" s="14" t="s">
        <v>83</v>
      </c>
      <c r="C77" s="10"/>
      <c r="D77" s="11">
        <v>0.68599999999999994</v>
      </c>
      <c r="O77" s="1">
        <f t="shared" si="8"/>
        <v>0</v>
      </c>
      <c r="P77" s="12">
        <f t="shared" si="7"/>
        <v>0</v>
      </c>
    </row>
    <row r="78" spans="1:16" s="1" customFormat="1" ht="96" x14ac:dyDescent="0.2">
      <c r="A78" s="14" t="s">
        <v>39</v>
      </c>
      <c r="B78" s="14" t="s">
        <v>84</v>
      </c>
      <c r="C78" s="10"/>
      <c r="D78" s="11">
        <v>0.68599999999999994</v>
      </c>
      <c r="O78" s="1">
        <f t="shared" si="8"/>
        <v>0</v>
      </c>
      <c r="P78" s="12">
        <f t="shared" si="7"/>
        <v>0</v>
      </c>
    </row>
    <row r="79" spans="1:16" s="1" customFormat="1" ht="96" x14ac:dyDescent="0.2">
      <c r="A79" s="14" t="s">
        <v>40</v>
      </c>
      <c r="B79" s="14" t="s">
        <v>85</v>
      </c>
      <c r="C79" s="10"/>
      <c r="D79" s="11">
        <v>0.98</v>
      </c>
      <c r="O79" s="1">
        <f t="shared" si="8"/>
        <v>0</v>
      </c>
      <c r="P79" s="12">
        <f t="shared" si="7"/>
        <v>0</v>
      </c>
    </row>
    <row r="80" spans="1:16" s="1" customFormat="1" ht="96" x14ac:dyDescent="0.2">
      <c r="A80" s="14" t="s">
        <v>41</v>
      </c>
      <c r="B80" s="15" t="s">
        <v>254</v>
      </c>
      <c r="C80" s="16"/>
      <c r="D80" s="11">
        <v>0.98</v>
      </c>
      <c r="O80" s="1">
        <f t="shared" si="8"/>
        <v>0</v>
      </c>
      <c r="P80" s="12">
        <f t="shared" si="7"/>
        <v>0</v>
      </c>
    </row>
    <row r="81" spans="1:16" s="1" customFormat="1" ht="96" x14ac:dyDescent="0.2">
      <c r="A81" s="14" t="s">
        <v>136</v>
      </c>
      <c r="B81" s="14" t="s">
        <v>132</v>
      </c>
      <c r="C81" s="10"/>
      <c r="D81" s="11">
        <v>0.98</v>
      </c>
      <c r="O81" s="1">
        <f t="shared" si="8"/>
        <v>0</v>
      </c>
      <c r="P81" s="12">
        <f t="shared" si="7"/>
        <v>0</v>
      </c>
    </row>
    <row r="82" spans="1:16" s="1" customFormat="1" ht="96" x14ac:dyDescent="0.2">
      <c r="A82" s="14" t="s">
        <v>137</v>
      </c>
      <c r="B82" s="15" t="s">
        <v>255</v>
      </c>
      <c r="C82" s="16"/>
      <c r="D82" s="11">
        <v>0.98</v>
      </c>
      <c r="O82" s="1">
        <f t="shared" si="8"/>
        <v>0</v>
      </c>
      <c r="P82" s="12">
        <f t="shared" si="7"/>
        <v>0</v>
      </c>
    </row>
    <row r="83" spans="1:16" s="1" customFormat="1" ht="160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8"/>
        <v>0</v>
      </c>
      <c r="P83" s="12">
        <f t="shared" si="7"/>
        <v>0</v>
      </c>
    </row>
    <row r="84" spans="1:16" s="1" customFormat="1" ht="384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8"/>
        <v>0</v>
      </c>
      <c r="P84" s="12">
        <f t="shared" si="7"/>
        <v>0</v>
      </c>
    </row>
    <row r="85" spans="1:16" s="1" customFormat="1" ht="384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8"/>
        <v>0</v>
      </c>
      <c r="P85" s="12">
        <f t="shared" si="7"/>
        <v>0</v>
      </c>
    </row>
    <row r="86" spans="1:16" s="1" customFormat="1" ht="384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8"/>
        <v>0</v>
      </c>
      <c r="P86" s="12">
        <f t="shared" si="7"/>
        <v>0</v>
      </c>
    </row>
    <row r="87" spans="1:16" s="1" customFormat="1" ht="160" x14ac:dyDescent="0.2">
      <c r="A87" s="14" t="s">
        <v>180</v>
      </c>
      <c r="B87" s="10" t="s">
        <v>181</v>
      </c>
      <c r="C87" s="10"/>
      <c r="D87" s="11">
        <v>0.75</v>
      </c>
      <c r="O87" s="1">
        <f t="shared" si="8"/>
        <v>0</v>
      </c>
      <c r="P87" s="12">
        <f t="shared" si="7"/>
        <v>0</v>
      </c>
    </row>
    <row r="88" spans="1:16" s="1" customFormat="1" ht="160" x14ac:dyDescent="0.2">
      <c r="A88" s="14" t="s">
        <v>182</v>
      </c>
      <c r="B88" s="10" t="s">
        <v>183</v>
      </c>
      <c r="C88" s="10"/>
      <c r="D88" s="11">
        <v>0.75</v>
      </c>
      <c r="O88" s="1">
        <f t="shared" si="8"/>
        <v>0</v>
      </c>
      <c r="P88" s="12">
        <f t="shared" si="7"/>
        <v>0</v>
      </c>
    </row>
    <row r="89" spans="1:16" s="1" customFormat="1" ht="160" x14ac:dyDescent="0.2">
      <c r="A89" s="14" t="s">
        <v>184</v>
      </c>
      <c r="B89" s="10" t="s">
        <v>185</v>
      </c>
      <c r="C89" s="10"/>
      <c r="D89" s="11">
        <v>0.75</v>
      </c>
      <c r="O89" s="1">
        <f t="shared" si="8"/>
        <v>0</v>
      </c>
      <c r="P89" s="12">
        <f t="shared" si="7"/>
        <v>0</v>
      </c>
    </row>
    <row r="90" spans="1:16" s="1" customFormat="1" ht="160" x14ac:dyDescent="0.2">
      <c r="A90" s="14" t="s">
        <v>186</v>
      </c>
      <c r="B90" s="14" t="s">
        <v>256</v>
      </c>
      <c r="C90" s="10"/>
      <c r="D90" s="11">
        <v>0.75</v>
      </c>
      <c r="O90" s="1">
        <f t="shared" si="8"/>
        <v>0</v>
      </c>
      <c r="P90" s="12">
        <f t="shared" si="7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  <ignoredErrors>
    <ignoredError sqref="O4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9EFC-C119-F84C-AE0B-58F8A6284B26}">
  <sheetPr>
    <tabColor theme="4"/>
  </sheetPr>
  <dimension ref="A1:R92"/>
  <sheetViews>
    <sheetView zoomScale="55" workbookViewId="0">
      <selection activeCell="E4" sqref="E4"/>
    </sheetView>
  </sheetViews>
  <sheetFormatPr baseColWidth="10" defaultRowHeight="16" x14ac:dyDescent="0.2"/>
  <cols>
    <col min="1" max="1" width="44.1640625" customWidth="1"/>
    <col min="2" max="2" width="45.5" customWidth="1"/>
    <col min="3" max="3" width="38.33203125" customWidth="1"/>
    <col min="4" max="4" width="45.33203125" customWidth="1"/>
    <col min="5" max="5" width="53.6640625" customWidth="1"/>
    <col min="6" max="6" width="56" customWidth="1"/>
    <col min="7" max="7" width="50.83203125" customWidth="1"/>
    <col min="8" max="8" width="45.33203125" customWidth="1"/>
    <col min="9" max="9" width="53.6640625" customWidth="1"/>
    <col min="10" max="10" width="54" customWidth="1"/>
    <col min="11" max="11" width="7.33203125" customWidth="1"/>
    <col min="12" max="12" width="8.1640625" customWidth="1"/>
    <col min="13" max="13" width="6" customWidth="1"/>
    <col min="14" max="14" width="5.1640625" customWidth="1"/>
    <col min="15" max="15" width="21.6640625" customWidth="1"/>
    <col min="16" max="16" width="32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242</v>
      </c>
      <c r="F1" s="4" t="s">
        <v>268</v>
      </c>
      <c r="G1" s="4" t="s">
        <v>243</v>
      </c>
      <c r="H1" s="4" t="s">
        <v>244</v>
      </c>
      <c r="I1" s="4" t="s">
        <v>263</v>
      </c>
      <c r="J1" s="4" t="s">
        <v>245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G4" s="1">
        <f>4*G3</f>
        <v>0</v>
      </c>
      <c r="J4" s="1">
        <f>4*J3</f>
        <v>0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2*G3</f>
        <v>0</v>
      </c>
      <c r="J5" s="1">
        <f>2*J3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E6" s="1">
        <f>4*E3</f>
        <v>0</v>
      </c>
      <c r="F6" s="1">
        <f>4*F3</f>
        <v>0</v>
      </c>
      <c r="H6" s="1">
        <f t="shared" ref="H6:I6" si="2">4*H3</f>
        <v>0</v>
      </c>
      <c r="I6" s="1">
        <f t="shared" si="2"/>
        <v>0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2*E3</f>
        <v>0</v>
      </c>
      <c r="F7" s="1">
        <f t="shared" ref="F7:I7" si="3">2*F3</f>
        <v>0</v>
      </c>
      <c r="H7" s="1">
        <f t="shared" si="3"/>
        <v>0</v>
      </c>
      <c r="I7" s="1">
        <f t="shared" si="3"/>
        <v>0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128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7*J3</f>
        <v>0</v>
      </c>
      <c r="O10" s="1">
        <f t="shared" si="1"/>
        <v>0</v>
      </c>
      <c r="P10" s="12">
        <f t="shared" si="0"/>
        <v>0</v>
      </c>
    </row>
    <row r="11" spans="1:18" s="1" customFormat="1" ht="128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7*H3</f>
        <v>0</v>
      </c>
      <c r="I11" s="1">
        <f>7*I3</f>
        <v>0</v>
      </c>
      <c r="O11" s="1">
        <f t="shared" si="1"/>
        <v>0</v>
      </c>
      <c r="P11" s="12">
        <f t="shared" si="0"/>
        <v>0</v>
      </c>
    </row>
    <row r="12" spans="1:18" s="1" customFormat="1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128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128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7*G3</f>
        <v>0</v>
      </c>
      <c r="O18" s="1">
        <f t="shared" si="1"/>
        <v>0</v>
      </c>
      <c r="P18" s="12">
        <f t="shared" si="0"/>
        <v>0</v>
      </c>
    </row>
    <row r="19" spans="1:16" s="1" customFormat="1" ht="128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128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7*E3</f>
        <v>0</v>
      </c>
      <c r="F20" s="1">
        <f>7*F3</f>
        <v>0</v>
      </c>
      <c r="O20" s="1">
        <f t="shared" si="1"/>
        <v>0</v>
      </c>
      <c r="P20" s="12">
        <f t="shared" si="0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128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128" x14ac:dyDescent="0.2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128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4">D36*O36</f>
        <v>0</v>
      </c>
    </row>
    <row r="37" spans="1:16" s="1" customFormat="1" ht="96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4"/>
        <v>0</v>
      </c>
    </row>
    <row r="38" spans="1:16" s="1" customFormat="1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4"/>
        <v>0</v>
      </c>
    </row>
    <row r="39" spans="1:16" s="1" customFormat="1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4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4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4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4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4"/>
        <v>0</v>
      </c>
    </row>
    <row r="44" spans="1:16" s="1" customFormat="1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12*H3</f>
        <v>0</v>
      </c>
      <c r="I44" s="1">
        <f>12*I3</f>
        <v>0</v>
      </c>
      <c r="J44" s="1">
        <f>12*J3</f>
        <v>0</v>
      </c>
      <c r="O44" s="1">
        <f t="shared" si="1"/>
        <v>0</v>
      </c>
      <c r="P44" s="12">
        <f t="shared" si="4"/>
        <v>0</v>
      </c>
    </row>
    <row r="45" spans="1:16" s="1" customFormat="1" ht="96" x14ac:dyDescent="0.2">
      <c r="A45" s="9" t="s">
        <v>13</v>
      </c>
      <c r="B45" s="9" t="s">
        <v>60</v>
      </c>
      <c r="C45" s="10"/>
      <c r="D45" s="11">
        <v>0.73</v>
      </c>
      <c r="E45" s="1">
        <f>12*E3</f>
        <v>0</v>
      </c>
      <c r="F45" s="1">
        <f>12*F3</f>
        <v>0</v>
      </c>
      <c r="G45" s="1">
        <f>12*G3</f>
        <v>0</v>
      </c>
      <c r="O45" s="1">
        <f t="shared" si="1"/>
        <v>0</v>
      </c>
      <c r="P45" s="12">
        <f t="shared" si="4"/>
        <v>0</v>
      </c>
    </row>
    <row r="46" spans="1:16" s="1" customFormat="1" ht="96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4"/>
        <v>0</v>
      </c>
    </row>
    <row r="47" spans="1:16" s="1" customFormat="1" ht="96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4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4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4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4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4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O52" s="1">
        <f t="shared" si="1"/>
        <v>0</v>
      </c>
      <c r="P52" s="12">
        <f t="shared" si="4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E53" s="1">
        <f>2*E3</f>
        <v>0</v>
      </c>
      <c r="F53" s="1">
        <f>1*F3</f>
        <v>0</v>
      </c>
      <c r="G53" s="1">
        <f>2*G3</f>
        <v>0</v>
      </c>
      <c r="H53" s="1">
        <f>2*H3</f>
        <v>0</v>
      </c>
      <c r="I53" s="1">
        <f>1*I3</f>
        <v>0</v>
      </c>
      <c r="J53" s="1">
        <f>2*J3</f>
        <v>0</v>
      </c>
      <c r="O53" s="1">
        <f t="shared" si="1"/>
        <v>0</v>
      </c>
      <c r="P53" s="12">
        <f t="shared" si="4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2*H3</f>
        <v>0</v>
      </c>
      <c r="I54" s="1">
        <f>1*I3</f>
        <v>0</v>
      </c>
      <c r="J54" s="1">
        <f>2*J3</f>
        <v>0</v>
      </c>
      <c r="O54" s="1">
        <f t="shared" si="1"/>
        <v>0</v>
      </c>
      <c r="P54" s="12">
        <f t="shared" si="4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2*E3</f>
        <v>0</v>
      </c>
      <c r="F55" s="1">
        <f>1*F3</f>
        <v>0</v>
      </c>
      <c r="G55" s="1">
        <f>2*G3</f>
        <v>0</v>
      </c>
      <c r="O55" s="1">
        <f t="shared" si="1"/>
        <v>0</v>
      </c>
      <c r="P55" s="12">
        <f t="shared" si="4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4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>2*E3</f>
        <v>0</v>
      </c>
      <c r="F57" s="1">
        <f>1*F3</f>
        <v>0</v>
      </c>
      <c r="G57" s="1">
        <f>2*G3</f>
        <v>0</v>
      </c>
      <c r="H57" s="1">
        <f>2*H3</f>
        <v>0</v>
      </c>
      <c r="I57" s="1">
        <f>1*I3</f>
        <v>0</v>
      </c>
      <c r="J57" s="1">
        <f>2*J3</f>
        <v>0</v>
      </c>
      <c r="O57" s="1">
        <f t="shared" si="1"/>
        <v>0</v>
      </c>
      <c r="P57" s="12">
        <f t="shared" si="4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>2*E3</f>
        <v>0</v>
      </c>
      <c r="F58" s="1">
        <f>1*F3</f>
        <v>0</v>
      </c>
      <c r="G58" s="1">
        <f>2*G3</f>
        <v>0</v>
      </c>
      <c r="H58" s="1">
        <f>2*H3</f>
        <v>0</v>
      </c>
      <c r="I58" s="1">
        <f>1*I3</f>
        <v>0</v>
      </c>
      <c r="J58" s="1">
        <f>2*J3</f>
        <v>0</v>
      </c>
      <c r="O58" s="1">
        <f t="shared" si="1"/>
        <v>0</v>
      </c>
      <c r="P58" s="12">
        <f t="shared" si="4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2*E3</f>
        <v>0</v>
      </c>
      <c r="F59" s="1">
        <f>1*F3</f>
        <v>0</v>
      </c>
      <c r="G59" s="1">
        <f>2*G3</f>
        <v>0</v>
      </c>
      <c r="H59" s="1">
        <f>2*H3</f>
        <v>0</v>
      </c>
      <c r="I59" s="1">
        <f>1*I3</f>
        <v>0</v>
      </c>
      <c r="J59" s="1">
        <f>2*J3</f>
        <v>0</v>
      </c>
      <c r="O59" s="1">
        <f t="shared" si="1"/>
        <v>0</v>
      </c>
      <c r="P59" s="12">
        <f t="shared" si="4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>2*E3</f>
        <v>0</v>
      </c>
      <c r="F60" s="1">
        <f>1*F3</f>
        <v>0</v>
      </c>
      <c r="G60" s="1">
        <f>2*G3</f>
        <v>0</v>
      </c>
      <c r="H60" s="1">
        <f>2*H3</f>
        <v>0</v>
      </c>
      <c r="I60" s="1">
        <f>1*I3</f>
        <v>0</v>
      </c>
      <c r="J60" s="1">
        <f>2*J3</f>
        <v>0</v>
      </c>
      <c r="O60" s="1">
        <f t="shared" si="1"/>
        <v>0</v>
      </c>
      <c r="P60" s="12">
        <f t="shared" si="4"/>
        <v>0</v>
      </c>
    </row>
    <row r="61" spans="1:16" s="1" customFormat="1" ht="96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4"/>
        <v>0</v>
      </c>
    </row>
    <row r="62" spans="1:16" s="1" customFormat="1" ht="224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4"/>
        <v>0</v>
      </c>
    </row>
    <row r="63" spans="1:16" s="1" customFormat="1" ht="224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4"/>
        <v>0</v>
      </c>
    </row>
    <row r="64" spans="1:16" s="1" customFormat="1" ht="96" x14ac:dyDescent="0.2">
      <c r="A64" s="14" t="s">
        <v>29</v>
      </c>
      <c r="B64" s="14" t="s">
        <v>75</v>
      </c>
      <c r="C64" s="10"/>
      <c r="D64" s="11">
        <v>1.1399999999999999</v>
      </c>
      <c r="E64" s="1">
        <f>2*E3</f>
        <v>0</v>
      </c>
      <c r="F64" s="1">
        <f>1*F3</f>
        <v>0</v>
      </c>
      <c r="G64" s="1">
        <f>2*G3</f>
        <v>0</v>
      </c>
      <c r="H64" s="1">
        <f>2*H3</f>
        <v>0</v>
      </c>
      <c r="I64" s="1">
        <f>1*I3</f>
        <v>0</v>
      </c>
      <c r="J64" s="1">
        <f>2*J3</f>
        <v>0</v>
      </c>
      <c r="O64" s="1">
        <f t="shared" si="1"/>
        <v>0</v>
      </c>
      <c r="P64" s="12">
        <f t="shared" si="4"/>
        <v>0</v>
      </c>
    </row>
    <row r="65" spans="1:16" s="1" customFormat="1" ht="64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4"/>
        <v>0</v>
      </c>
    </row>
    <row r="66" spans="1:16" s="1" customFormat="1" ht="64" x14ac:dyDescent="0.2">
      <c r="A66" s="14" t="s">
        <v>31</v>
      </c>
      <c r="B66" s="14" t="s">
        <v>187</v>
      </c>
      <c r="C66" s="10"/>
      <c r="D66" s="11">
        <v>2.15</v>
      </c>
      <c r="O66" s="1">
        <f t="shared" si="1"/>
        <v>0</v>
      </c>
      <c r="P66" s="12">
        <f t="shared" si="4"/>
        <v>0</v>
      </c>
    </row>
    <row r="67" spans="1:16" s="1" customFormat="1" ht="96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4"/>
        <v>0</v>
      </c>
    </row>
    <row r="68" spans="1:16" s="1" customFormat="1" ht="96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5">D68*O68</f>
        <v>0</v>
      </c>
    </row>
    <row r="69" spans="1:16" s="1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0" si="6">SUM(E69:J69)</f>
        <v>0</v>
      </c>
      <c r="P69" s="12">
        <f t="shared" si="5"/>
        <v>0</v>
      </c>
    </row>
    <row r="70" spans="1:16" s="1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6"/>
        <v>0</v>
      </c>
      <c r="P70" s="12">
        <f t="shared" si="5"/>
        <v>0</v>
      </c>
    </row>
    <row r="71" spans="1:16" s="1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O71" s="1">
        <f t="shared" si="6"/>
        <v>0</v>
      </c>
      <c r="P71" s="12">
        <f t="shared" si="5"/>
        <v>0</v>
      </c>
    </row>
    <row r="72" spans="1:16" s="1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O72" s="1">
        <f t="shared" si="6"/>
        <v>0</v>
      </c>
      <c r="P72" s="12">
        <f t="shared" si="5"/>
        <v>0</v>
      </c>
    </row>
    <row r="73" spans="1:16" s="1" customFormat="1" ht="96" x14ac:dyDescent="0.2">
      <c r="A73" s="14" t="s">
        <v>34</v>
      </c>
      <c r="B73" s="14" t="s">
        <v>79</v>
      </c>
      <c r="C73" s="10"/>
      <c r="D73" s="11">
        <v>3.3879999999999999</v>
      </c>
      <c r="E73" s="1">
        <f>1*E3</f>
        <v>0</v>
      </c>
      <c r="G73" s="1">
        <f>1*G3</f>
        <v>0</v>
      </c>
      <c r="H73" s="1">
        <f>1*H3</f>
        <v>0</v>
      </c>
      <c r="J73" s="1">
        <f>1*J3</f>
        <v>0</v>
      </c>
      <c r="O73" s="1">
        <f t="shared" si="6"/>
        <v>0</v>
      </c>
      <c r="P73" s="12">
        <f t="shared" si="5"/>
        <v>0</v>
      </c>
    </row>
    <row r="74" spans="1:16" s="1" customFormat="1" ht="96" x14ac:dyDescent="0.2">
      <c r="A74" s="14" t="s">
        <v>35</v>
      </c>
      <c r="B74" s="14" t="s">
        <v>80</v>
      </c>
      <c r="C74" s="10"/>
      <c r="D74" s="11">
        <v>3.3879999999999999</v>
      </c>
      <c r="E74" s="1">
        <f>1*E3</f>
        <v>0</v>
      </c>
      <c r="G74" s="1">
        <f>1*G3</f>
        <v>0</v>
      </c>
      <c r="H74" s="1">
        <f>1*H3</f>
        <v>0</v>
      </c>
      <c r="J74" s="1">
        <f>1*J3</f>
        <v>0</v>
      </c>
      <c r="O74" s="1">
        <f t="shared" si="6"/>
        <v>0</v>
      </c>
      <c r="P74" s="12">
        <f t="shared" si="5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6"/>
        <v>0</v>
      </c>
      <c r="P75" s="12">
        <f t="shared" si="5"/>
        <v>0</v>
      </c>
    </row>
    <row r="76" spans="1:16" s="1" customFormat="1" ht="96" x14ac:dyDescent="0.2">
      <c r="A76" s="14" t="s">
        <v>37</v>
      </c>
      <c r="B76" s="14" t="s">
        <v>82</v>
      </c>
      <c r="C76" s="10"/>
      <c r="D76" s="11">
        <v>2.702</v>
      </c>
      <c r="O76" s="1">
        <f t="shared" si="6"/>
        <v>0</v>
      </c>
      <c r="P76" s="12">
        <f t="shared" si="5"/>
        <v>0</v>
      </c>
    </row>
    <row r="77" spans="1:16" s="1" customFormat="1" ht="96" x14ac:dyDescent="0.2">
      <c r="A77" s="14" t="s">
        <v>38</v>
      </c>
      <c r="B77" s="14" t="s">
        <v>83</v>
      </c>
      <c r="C77" s="10"/>
      <c r="D77" s="11">
        <v>0.68599999999999994</v>
      </c>
      <c r="H77" s="1">
        <f>1*H3</f>
        <v>0</v>
      </c>
      <c r="J77" s="1">
        <f>1*J3</f>
        <v>0</v>
      </c>
      <c r="O77" s="1">
        <f t="shared" si="6"/>
        <v>0</v>
      </c>
      <c r="P77" s="12">
        <f t="shared" si="5"/>
        <v>0</v>
      </c>
    </row>
    <row r="78" spans="1:16" s="1" customFormat="1" ht="96" x14ac:dyDescent="0.2">
      <c r="A78" s="14" t="s">
        <v>39</v>
      </c>
      <c r="B78" s="14" t="s">
        <v>84</v>
      </c>
      <c r="C78" s="10"/>
      <c r="D78" s="11">
        <v>0.68599999999999994</v>
      </c>
      <c r="H78" s="1">
        <f>1*H3</f>
        <v>0</v>
      </c>
      <c r="J78" s="1">
        <f>1*J3</f>
        <v>0</v>
      </c>
      <c r="O78" s="1">
        <f t="shared" si="6"/>
        <v>0</v>
      </c>
      <c r="P78" s="12">
        <f t="shared" si="5"/>
        <v>0</v>
      </c>
    </row>
    <row r="79" spans="1:16" s="1" customFormat="1" ht="96" x14ac:dyDescent="0.2">
      <c r="A79" s="14" t="s">
        <v>40</v>
      </c>
      <c r="B79" s="14" t="s">
        <v>85</v>
      </c>
      <c r="C79" s="10"/>
      <c r="D79" s="11">
        <v>0.98</v>
      </c>
      <c r="E79" s="1">
        <f>1*E3</f>
        <v>0</v>
      </c>
      <c r="G79" s="1">
        <f>1*G3</f>
        <v>0</v>
      </c>
      <c r="O79" s="1">
        <f t="shared" si="6"/>
        <v>0</v>
      </c>
      <c r="P79" s="12">
        <f t="shared" si="5"/>
        <v>0</v>
      </c>
    </row>
    <row r="80" spans="1:16" s="1" customFormat="1" ht="96" x14ac:dyDescent="0.2">
      <c r="A80" s="14" t="s">
        <v>41</v>
      </c>
      <c r="B80" s="15" t="s">
        <v>254</v>
      </c>
      <c r="C80" s="16"/>
      <c r="D80" s="11">
        <v>0.98</v>
      </c>
      <c r="E80" s="1">
        <f>1*E3</f>
        <v>0</v>
      </c>
      <c r="G80" s="1">
        <f>1*G3</f>
        <v>0</v>
      </c>
      <c r="O80" s="1">
        <f t="shared" si="6"/>
        <v>0</v>
      </c>
      <c r="P80" s="12">
        <f t="shared" si="5"/>
        <v>0</v>
      </c>
    </row>
    <row r="81" spans="1:16" s="1" customFormat="1" ht="96" x14ac:dyDescent="0.2">
      <c r="A81" s="14" t="s">
        <v>136</v>
      </c>
      <c r="B81" s="14" t="s">
        <v>132</v>
      </c>
      <c r="C81" s="10"/>
      <c r="D81" s="11">
        <v>0.98</v>
      </c>
      <c r="O81" s="1">
        <f t="shared" si="6"/>
        <v>0</v>
      </c>
      <c r="P81" s="12">
        <f t="shared" si="5"/>
        <v>0</v>
      </c>
    </row>
    <row r="82" spans="1:16" s="1" customFormat="1" ht="96" x14ac:dyDescent="0.2">
      <c r="A82" s="14" t="s">
        <v>137</v>
      </c>
      <c r="B82" s="15" t="s">
        <v>255</v>
      </c>
      <c r="C82" s="16"/>
      <c r="D82" s="11">
        <v>0.98</v>
      </c>
      <c r="O82" s="1">
        <f t="shared" si="6"/>
        <v>0</v>
      </c>
      <c r="P82" s="12">
        <f t="shared" si="5"/>
        <v>0</v>
      </c>
    </row>
    <row r="83" spans="1:16" s="1" customFormat="1" ht="160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6"/>
        <v>0</v>
      </c>
      <c r="P83" s="12">
        <f t="shared" si="5"/>
        <v>0</v>
      </c>
    </row>
    <row r="84" spans="1:16" s="1" customFormat="1" ht="384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6"/>
        <v>0</v>
      </c>
      <c r="P84" s="12">
        <f t="shared" si="5"/>
        <v>0</v>
      </c>
    </row>
    <row r="85" spans="1:16" s="1" customFormat="1" ht="384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6"/>
        <v>0</v>
      </c>
      <c r="P85" s="12">
        <f t="shared" si="5"/>
        <v>0</v>
      </c>
    </row>
    <row r="86" spans="1:16" s="1" customFormat="1" ht="384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6"/>
        <v>0</v>
      </c>
      <c r="P86" s="12">
        <f t="shared" si="5"/>
        <v>0</v>
      </c>
    </row>
    <row r="87" spans="1:16" s="1" customFormat="1" ht="160" x14ac:dyDescent="0.2">
      <c r="A87" s="14" t="s">
        <v>180</v>
      </c>
      <c r="B87" s="10" t="s">
        <v>181</v>
      </c>
      <c r="C87" s="10"/>
      <c r="D87" s="11">
        <v>0.75</v>
      </c>
      <c r="O87" s="1">
        <f t="shared" si="6"/>
        <v>0</v>
      </c>
      <c r="P87" s="12">
        <f t="shared" si="5"/>
        <v>0</v>
      </c>
    </row>
    <row r="88" spans="1:16" s="1" customFormat="1" ht="160" x14ac:dyDescent="0.2">
      <c r="A88" s="14" t="s">
        <v>182</v>
      </c>
      <c r="B88" s="10" t="s">
        <v>183</v>
      </c>
      <c r="C88" s="10"/>
      <c r="D88" s="11">
        <v>0.75</v>
      </c>
      <c r="O88" s="1">
        <f t="shared" si="6"/>
        <v>0</v>
      </c>
      <c r="P88" s="12">
        <f t="shared" si="5"/>
        <v>0</v>
      </c>
    </row>
    <row r="89" spans="1:16" s="1" customFormat="1" ht="160" x14ac:dyDescent="0.2">
      <c r="A89" s="14" t="s">
        <v>184</v>
      </c>
      <c r="B89" s="10" t="s">
        <v>185</v>
      </c>
      <c r="C89" s="10"/>
      <c r="D89" s="11">
        <v>0.75</v>
      </c>
      <c r="O89" s="1">
        <f t="shared" si="6"/>
        <v>0</v>
      </c>
      <c r="P89" s="12">
        <f t="shared" si="5"/>
        <v>0</v>
      </c>
    </row>
    <row r="90" spans="1:16" s="1" customFormat="1" ht="160" x14ac:dyDescent="0.2">
      <c r="A90" s="14" t="s">
        <v>186</v>
      </c>
      <c r="B90" s="14" t="s">
        <v>256</v>
      </c>
      <c r="C90" s="10"/>
      <c r="D90" s="11">
        <v>0.75</v>
      </c>
      <c r="O90" s="1">
        <f t="shared" si="6"/>
        <v>0</v>
      </c>
      <c r="P90" s="12">
        <f t="shared" si="5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81F6-3475-514E-AAC1-B1DE246ECDF4}">
  <sheetPr>
    <tabColor theme="8"/>
  </sheetPr>
  <dimension ref="A1:R92"/>
  <sheetViews>
    <sheetView topLeftCell="D1" zoomScale="50" workbookViewId="0">
      <selection activeCell="J4" sqref="J4"/>
    </sheetView>
  </sheetViews>
  <sheetFormatPr baseColWidth="10" defaultRowHeight="16" x14ac:dyDescent="0.2"/>
  <cols>
    <col min="1" max="1" width="81.33203125" customWidth="1"/>
    <col min="2" max="2" width="49.6640625" customWidth="1"/>
    <col min="3" max="3" width="46.83203125" customWidth="1"/>
    <col min="4" max="4" width="45.33203125" customWidth="1"/>
    <col min="5" max="5" width="51" customWidth="1"/>
    <col min="6" max="6" width="53.1640625" customWidth="1"/>
    <col min="7" max="7" width="55.1640625" customWidth="1"/>
    <col min="8" max="8" width="53.1640625" customWidth="1"/>
    <col min="9" max="9" width="53.6640625" customWidth="1"/>
    <col min="10" max="10" width="53.33203125" customWidth="1"/>
    <col min="11" max="11" width="6.1640625" customWidth="1"/>
    <col min="12" max="12" width="4.5" customWidth="1"/>
    <col min="13" max="13" width="6.83203125" customWidth="1"/>
    <col min="14" max="14" width="5.5" customWidth="1"/>
    <col min="15" max="15" width="53.83203125" customWidth="1"/>
    <col min="16" max="16" width="52.3320312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246</v>
      </c>
      <c r="F1" s="4" t="s">
        <v>269</v>
      </c>
      <c r="G1" s="4" t="s">
        <v>247</v>
      </c>
      <c r="H1" s="4" t="s">
        <v>248</v>
      </c>
      <c r="I1" s="4" t="s">
        <v>265</v>
      </c>
      <c r="J1" s="4" t="s">
        <v>249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6*G3</f>
        <v>0</v>
      </c>
      <c r="J5" s="1">
        <f>6*J3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6*E3</f>
        <v>0</v>
      </c>
      <c r="F7" s="1">
        <f>6*F3</f>
        <v>0</v>
      </c>
      <c r="H7" s="1">
        <f>6*H3</f>
        <v>0</v>
      </c>
      <c r="I7" s="1">
        <f>6*I3</f>
        <v>0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8*J3</f>
        <v>0</v>
      </c>
      <c r="O10" s="1">
        <f t="shared" si="1"/>
        <v>0</v>
      </c>
      <c r="P10" s="12">
        <f t="shared" si="0"/>
        <v>0</v>
      </c>
    </row>
    <row r="11" spans="1:18" s="1" customFormat="1" ht="128" customHeight="1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8*H3</f>
        <v>0</v>
      </c>
      <c r="I11" s="1">
        <f>8*I3</f>
        <v>0</v>
      </c>
      <c r="O11" s="1">
        <f t="shared" si="1"/>
        <v>0</v>
      </c>
      <c r="P11" s="12">
        <f t="shared" si="0"/>
        <v>0</v>
      </c>
    </row>
    <row r="12" spans="1:18" s="1" customFormat="1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128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128" x14ac:dyDescent="0.35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8*G3</f>
        <v>0</v>
      </c>
      <c r="O18" s="1">
        <f t="shared" si="1"/>
        <v>0</v>
      </c>
      <c r="P18" s="12">
        <f t="shared" si="0"/>
        <v>0</v>
      </c>
    </row>
    <row r="19" spans="1:16" s="1" customFormat="1" ht="96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8*E3</f>
        <v>0</v>
      </c>
      <c r="F20" s="1">
        <f>8*F3</f>
        <v>0</v>
      </c>
      <c r="O20" s="1">
        <f t="shared" si="1"/>
        <v>0</v>
      </c>
      <c r="P20" s="12">
        <f t="shared" si="0"/>
        <v>0</v>
      </c>
    </row>
    <row r="21" spans="1:16" s="1" customFormat="1" ht="96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32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96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96" x14ac:dyDescent="0.2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96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2">D36*O36</f>
        <v>0</v>
      </c>
    </row>
    <row r="37" spans="1:16" s="1" customFormat="1" ht="64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2"/>
        <v>0</v>
      </c>
    </row>
    <row r="38" spans="1:16" s="1" customFormat="1" ht="64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2"/>
        <v>0</v>
      </c>
    </row>
    <row r="39" spans="1:16" s="1" customFormat="1" ht="64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2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2"/>
        <v>0</v>
      </c>
    </row>
    <row r="41" spans="1:16" s="1" customFormat="1" ht="64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2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2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2"/>
        <v>0</v>
      </c>
    </row>
    <row r="44" spans="1:16" s="1" customFormat="1" ht="85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14*H3</f>
        <v>0</v>
      </c>
      <c r="I44" s="1">
        <f>14*I3</f>
        <v>0</v>
      </c>
      <c r="J44" s="1">
        <f>14*J3</f>
        <v>0</v>
      </c>
      <c r="O44" s="1">
        <f t="shared" si="1"/>
        <v>0</v>
      </c>
      <c r="P44" s="12">
        <f t="shared" si="2"/>
        <v>0</v>
      </c>
    </row>
    <row r="45" spans="1:16" s="1" customFormat="1" ht="85" customHeight="1" x14ac:dyDescent="0.2">
      <c r="A45" s="9" t="s">
        <v>13</v>
      </c>
      <c r="B45" s="9" t="s">
        <v>60</v>
      </c>
      <c r="C45" s="10"/>
      <c r="D45" s="11">
        <v>0.73</v>
      </c>
      <c r="E45" s="1">
        <f>14*E3</f>
        <v>0</v>
      </c>
      <c r="F45" s="1">
        <f>14*F3</f>
        <v>0</v>
      </c>
      <c r="G45" s="1">
        <f>14*G3</f>
        <v>0</v>
      </c>
      <c r="O45" s="1">
        <f t="shared" si="1"/>
        <v>0</v>
      </c>
      <c r="P45" s="12">
        <f t="shared" si="2"/>
        <v>0</v>
      </c>
    </row>
    <row r="46" spans="1:16" s="1" customFormat="1" ht="89" customHeight="1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2"/>
        <v>0</v>
      </c>
    </row>
    <row r="47" spans="1:16" s="1" customFormat="1" ht="95" customHeight="1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2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2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2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2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2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E52" s="1">
        <f>2*E3</f>
        <v>0</v>
      </c>
      <c r="F52" s="1">
        <f>1*F3</f>
        <v>0</v>
      </c>
      <c r="G52" s="1">
        <f>2*G3</f>
        <v>0</v>
      </c>
      <c r="H52" s="1">
        <f>2*H3</f>
        <v>0</v>
      </c>
      <c r="I52" s="1">
        <f>1*I3</f>
        <v>0</v>
      </c>
      <c r="J52" s="1">
        <f>2*J3</f>
        <v>0</v>
      </c>
      <c r="O52" s="1">
        <f t="shared" si="1"/>
        <v>0</v>
      </c>
      <c r="P52" s="12">
        <f t="shared" si="2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O53" s="1">
        <f t="shared" si="1"/>
        <v>0</v>
      </c>
      <c r="P53" s="12">
        <f t="shared" si="2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2*H3</f>
        <v>0</v>
      </c>
      <c r="I54" s="1">
        <f>1*I3</f>
        <v>0</v>
      </c>
      <c r="J54" s="1">
        <f>2*J3</f>
        <v>0</v>
      </c>
      <c r="O54" s="1">
        <f t="shared" si="1"/>
        <v>0</v>
      </c>
      <c r="P54" s="12">
        <f t="shared" si="2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2*E3</f>
        <v>0</v>
      </c>
      <c r="F55" s="1">
        <f>1*F3</f>
        <v>0</v>
      </c>
      <c r="G55" s="1">
        <f>2*G3</f>
        <v>0</v>
      </c>
      <c r="O55" s="1">
        <f t="shared" si="1"/>
        <v>0</v>
      </c>
      <c r="P55" s="12">
        <f t="shared" si="2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2"/>
        <v>0</v>
      </c>
    </row>
    <row r="57" spans="1:16" s="1" customFormat="1" ht="32" x14ac:dyDescent="0.2">
      <c r="A57" s="14" t="s">
        <v>22</v>
      </c>
      <c r="B57" s="14" t="s">
        <v>70</v>
      </c>
      <c r="C57" s="10"/>
      <c r="D57" s="11">
        <v>0.15512465373961221</v>
      </c>
      <c r="E57" s="1">
        <f>2*E3</f>
        <v>0</v>
      </c>
      <c r="F57" s="1">
        <f>1*F3</f>
        <v>0</v>
      </c>
      <c r="G57" s="1">
        <f>2*G3</f>
        <v>0</v>
      </c>
      <c r="H57" s="1">
        <f>2*H3</f>
        <v>0</v>
      </c>
      <c r="I57" s="1">
        <f>1*I3</f>
        <v>0</v>
      </c>
      <c r="J57" s="1">
        <f>2*J3</f>
        <v>0</v>
      </c>
      <c r="O57" s="1">
        <f t="shared" si="1"/>
        <v>0</v>
      </c>
      <c r="P57" s="12">
        <f t="shared" si="2"/>
        <v>0</v>
      </c>
    </row>
    <row r="58" spans="1:16" s="1" customFormat="1" ht="32" x14ac:dyDescent="0.2">
      <c r="A58" s="14" t="s">
        <v>23</v>
      </c>
      <c r="B58" s="14" t="s">
        <v>69</v>
      </c>
      <c r="C58" s="10"/>
      <c r="D58" s="11">
        <v>0.27922437673130196</v>
      </c>
      <c r="E58" s="1">
        <f>2*E3</f>
        <v>0</v>
      </c>
      <c r="F58" s="1">
        <f>1*F3</f>
        <v>0</v>
      </c>
      <c r="G58" s="1">
        <f>2*G3</f>
        <v>0</v>
      </c>
      <c r="H58" s="1">
        <f>2*H3</f>
        <v>0</v>
      </c>
      <c r="I58" s="1">
        <f>1*I3</f>
        <v>0</v>
      </c>
      <c r="J58" s="1">
        <f>2*J3</f>
        <v>0</v>
      </c>
      <c r="O58" s="1">
        <f t="shared" si="1"/>
        <v>0</v>
      </c>
      <c r="P58" s="12">
        <f t="shared" si="2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2*E3</f>
        <v>0</v>
      </c>
      <c r="F59" s="1">
        <f>1*F3</f>
        <v>0</v>
      </c>
      <c r="G59" s="1">
        <f>2*G3</f>
        <v>0</v>
      </c>
      <c r="H59" s="1">
        <f>2*H3</f>
        <v>0</v>
      </c>
      <c r="I59" s="1">
        <f>1*I3</f>
        <v>0</v>
      </c>
      <c r="J59" s="1">
        <f>2*J3</f>
        <v>0</v>
      </c>
      <c r="O59" s="1">
        <f t="shared" si="1"/>
        <v>0</v>
      </c>
      <c r="P59" s="12">
        <f t="shared" si="2"/>
        <v>0</v>
      </c>
    </row>
    <row r="60" spans="1:16" s="1" customFormat="1" ht="32" x14ac:dyDescent="0.2">
      <c r="A60" s="14" t="s">
        <v>25</v>
      </c>
      <c r="B60" s="14" t="s">
        <v>71</v>
      </c>
      <c r="C60" s="10"/>
      <c r="D60" s="11">
        <v>3.1024930747922445E-2</v>
      </c>
      <c r="E60" s="1">
        <f>2*E3</f>
        <v>0</v>
      </c>
      <c r="F60" s="1">
        <f>1*F3</f>
        <v>0</v>
      </c>
      <c r="G60" s="1">
        <f>2*G3</f>
        <v>0</v>
      </c>
      <c r="H60" s="1">
        <f>2*H3</f>
        <v>0</v>
      </c>
      <c r="I60" s="1">
        <f>1*I3</f>
        <v>0</v>
      </c>
      <c r="J60" s="1">
        <f>2*J3</f>
        <v>0</v>
      </c>
      <c r="O60" s="1">
        <f t="shared" si="1"/>
        <v>0</v>
      </c>
      <c r="P60" s="12">
        <f t="shared" si="2"/>
        <v>0</v>
      </c>
    </row>
    <row r="61" spans="1:16" s="1" customFormat="1" ht="64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2"/>
        <v>0</v>
      </c>
    </row>
    <row r="62" spans="1:16" s="1" customFormat="1" ht="192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2"/>
        <v>0</v>
      </c>
    </row>
    <row r="63" spans="1:16" s="1" customFormat="1" ht="181" customHeight="1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2"/>
        <v>0</v>
      </c>
    </row>
    <row r="64" spans="1:16" s="1" customFormat="1" ht="79" customHeight="1" x14ac:dyDescent="0.2">
      <c r="A64" s="14" t="s">
        <v>29</v>
      </c>
      <c r="B64" s="14" t="s">
        <v>75</v>
      </c>
      <c r="C64" s="10"/>
      <c r="D64" s="11">
        <v>1.1399999999999999</v>
      </c>
      <c r="E64" s="1">
        <f>2*E3</f>
        <v>0</v>
      </c>
      <c r="F64" s="1">
        <f>1*F3</f>
        <v>0</v>
      </c>
      <c r="G64" s="1">
        <f>2*G3</f>
        <v>0</v>
      </c>
      <c r="H64" s="1">
        <f>2*H3</f>
        <v>0</v>
      </c>
      <c r="I64" s="1">
        <f>1*I3</f>
        <v>0</v>
      </c>
      <c r="J64" s="1">
        <f>2*J3</f>
        <v>0</v>
      </c>
      <c r="O64" s="1">
        <f t="shared" si="1"/>
        <v>0</v>
      </c>
      <c r="P64" s="12">
        <f t="shared" si="2"/>
        <v>0</v>
      </c>
    </row>
    <row r="65" spans="1:16" s="1" customFormat="1" ht="62" customHeight="1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2"/>
        <v>0</v>
      </c>
    </row>
    <row r="66" spans="1:16" s="1" customFormat="1" ht="32" x14ac:dyDescent="0.2">
      <c r="A66" s="14" t="s">
        <v>31</v>
      </c>
      <c r="B66" s="14" t="s">
        <v>258</v>
      </c>
      <c r="C66" s="10"/>
      <c r="D66" s="11">
        <v>2.15</v>
      </c>
      <c r="O66" s="1">
        <f t="shared" si="1"/>
        <v>0</v>
      </c>
      <c r="P66" s="12">
        <f t="shared" si="2"/>
        <v>0</v>
      </c>
    </row>
    <row r="67" spans="1:16" s="1" customFormat="1" ht="64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2"/>
        <v>0</v>
      </c>
    </row>
    <row r="68" spans="1:16" s="1" customFormat="1" ht="64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3">D68*O68</f>
        <v>0</v>
      </c>
    </row>
    <row r="69" spans="1:16" s="1" customFormat="1" ht="98" customHeight="1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0" si="4">SUM(E69:J69)</f>
        <v>0</v>
      </c>
      <c r="P69" s="12">
        <f t="shared" si="3"/>
        <v>0</v>
      </c>
    </row>
    <row r="70" spans="1:16" s="1" customFormat="1" ht="64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4"/>
        <v>0</v>
      </c>
      <c r="P70" s="12">
        <f t="shared" si="3"/>
        <v>0</v>
      </c>
    </row>
    <row r="71" spans="1:16" s="1" customFormat="1" ht="64" x14ac:dyDescent="0.2">
      <c r="A71" s="14" t="s">
        <v>178</v>
      </c>
      <c r="B71" s="14" t="s">
        <v>194</v>
      </c>
      <c r="C71" s="10"/>
      <c r="D71" s="11">
        <v>5.5579999999999998</v>
      </c>
      <c r="E71" s="1">
        <f>1*E3</f>
        <v>0</v>
      </c>
      <c r="G71" s="1">
        <f>1*G3</f>
        <v>0</v>
      </c>
      <c r="H71" s="1">
        <f>1*H3</f>
        <v>0</v>
      </c>
      <c r="J71" s="1">
        <f>1*J3</f>
        <v>0</v>
      </c>
      <c r="O71" s="1">
        <f t="shared" si="4"/>
        <v>0</v>
      </c>
      <c r="P71" s="12">
        <f t="shared" si="3"/>
        <v>0</v>
      </c>
    </row>
    <row r="72" spans="1:16" s="1" customFormat="1" ht="64" x14ac:dyDescent="0.2">
      <c r="A72" s="14" t="s">
        <v>179</v>
      </c>
      <c r="B72" s="14" t="s">
        <v>195</v>
      </c>
      <c r="C72" s="10"/>
      <c r="D72" s="11">
        <v>5.5579999999999998</v>
      </c>
      <c r="E72" s="1">
        <f>1*E3</f>
        <v>0</v>
      </c>
      <c r="G72" s="1">
        <f>1*G3</f>
        <v>0</v>
      </c>
      <c r="H72" s="1">
        <f>1*H3</f>
        <v>0</v>
      </c>
      <c r="J72" s="1">
        <f>1*J3</f>
        <v>0</v>
      </c>
      <c r="O72" s="1">
        <f t="shared" si="4"/>
        <v>0</v>
      </c>
      <c r="P72" s="12">
        <f t="shared" si="3"/>
        <v>0</v>
      </c>
    </row>
    <row r="73" spans="1:16" s="1" customFormat="1" ht="64" x14ac:dyDescent="0.2">
      <c r="A73" s="14" t="s">
        <v>34</v>
      </c>
      <c r="B73" s="14" t="s">
        <v>79</v>
      </c>
      <c r="C73" s="10"/>
      <c r="D73" s="11">
        <v>3.3879999999999999</v>
      </c>
      <c r="O73" s="1">
        <f t="shared" si="4"/>
        <v>0</v>
      </c>
      <c r="P73" s="12">
        <f t="shared" si="3"/>
        <v>0</v>
      </c>
    </row>
    <row r="74" spans="1:16" s="1" customFormat="1" ht="64" x14ac:dyDescent="0.2">
      <c r="A74" s="14" t="s">
        <v>35</v>
      </c>
      <c r="B74" s="14" t="s">
        <v>80</v>
      </c>
      <c r="C74" s="10"/>
      <c r="D74" s="11">
        <v>3.3879999999999999</v>
      </c>
      <c r="O74" s="1">
        <f t="shared" si="4"/>
        <v>0</v>
      </c>
      <c r="P74" s="12">
        <f t="shared" si="3"/>
        <v>0</v>
      </c>
    </row>
    <row r="75" spans="1:16" s="1" customFormat="1" ht="32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4"/>
        <v>0</v>
      </c>
      <c r="P75" s="12">
        <f t="shared" si="3"/>
        <v>0</v>
      </c>
    </row>
    <row r="76" spans="1:16" s="1" customFormat="1" ht="64" x14ac:dyDescent="0.2">
      <c r="A76" s="14" t="s">
        <v>37</v>
      </c>
      <c r="B76" s="14" t="s">
        <v>82</v>
      </c>
      <c r="C76" s="10"/>
      <c r="D76" s="11">
        <v>2.702</v>
      </c>
      <c r="O76" s="1">
        <f t="shared" si="4"/>
        <v>0</v>
      </c>
      <c r="P76" s="12">
        <f t="shared" si="3"/>
        <v>0</v>
      </c>
    </row>
    <row r="77" spans="1:16" s="1" customFormat="1" ht="64" x14ac:dyDescent="0.2">
      <c r="A77" s="14" t="s">
        <v>38</v>
      </c>
      <c r="B77" s="14" t="s">
        <v>83</v>
      </c>
      <c r="C77" s="10"/>
      <c r="D77" s="11">
        <v>0.68599999999999994</v>
      </c>
      <c r="H77" s="1">
        <f>1*H3</f>
        <v>0</v>
      </c>
      <c r="J77" s="1">
        <f>1*J3</f>
        <v>0</v>
      </c>
      <c r="O77" s="1">
        <f t="shared" si="4"/>
        <v>0</v>
      </c>
      <c r="P77" s="12">
        <f t="shared" si="3"/>
        <v>0</v>
      </c>
    </row>
    <row r="78" spans="1:16" s="1" customFormat="1" ht="64" x14ac:dyDescent="0.2">
      <c r="A78" s="14" t="s">
        <v>39</v>
      </c>
      <c r="B78" s="14" t="s">
        <v>84</v>
      </c>
      <c r="C78" s="10"/>
      <c r="D78" s="11">
        <v>0.68599999999999994</v>
      </c>
      <c r="H78" s="1">
        <f>1*H3</f>
        <v>0</v>
      </c>
      <c r="J78" s="1">
        <f>1*J3</f>
        <v>0</v>
      </c>
      <c r="O78" s="1">
        <f t="shared" si="4"/>
        <v>0</v>
      </c>
      <c r="P78" s="12">
        <f t="shared" si="3"/>
        <v>0</v>
      </c>
    </row>
    <row r="79" spans="1:16" s="1" customFormat="1" ht="64" x14ac:dyDescent="0.2">
      <c r="A79" s="14" t="s">
        <v>40</v>
      </c>
      <c r="B79" s="14" t="s">
        <v>85</v>
      </c>
      <c r="C79" s="10"/>
      <c r="D79" s="11">
        <v>0.98</v>
      </c>
      <c r="E79" s="1">
        <f>1*E3</f>
        <v>0</v>
      </c>
      <c r="G79" s="1">
        <f>1*G3</f>
        <v>0</v>
      </c>
      <c r="O79" s="1">
        <f t="shared" si="4"/>
        <v>0</v>
      </c>
      <c r="P79" s="12">
        <f t="shared" si="3"/>
        <v>0</v>
      </c>
    </row>
    <row r="80" spans="1:16" s="1" customFormat="1" ht="64" x14ac:dyDescent="0.2">
      <c r="A80" s="14" t="s">
        <v>41</v>
      </c>
      <c r="B80" s="15" t="s">
        <v>254</v>
      </c>
      <c r="C80" s="16"/>
      <c r="D80" s="11">
        <v>0.98</v>
      </c>
      <c r="E80" s="1">
        <f>1*E3</f>
        <v>0</v>
      </c>
      <c r="G80" s="1">
        <f>1*G3</f>
        <v>0</v>
      </c>
      <c r="O80" s="1">
        <f t="shared" si="4"/>
        <v>0</v>
      </c>
      <c r="P80" s="12">
        <f t="shared" si="3"/>
        <v>0</v>
      </c>
    </row>
    <row r="81" spans="1:16" s="1" customFormat="1" ht="64" x14ac:dyDescent="0.2">
      <c r="A81" s="14" t="s">
        <v>136</v>
      </c>
      <c r="B81" s="14" t="s">
        <v>132</v>
      </c>
      <c r="C81" s="10"/>
      <c r="D81" s="11">
        <v>0.98</v>
      </c>
      <c r="O81" s="1">
        <f t="shared" si="4"/>
        <v>0</v>
      </c>
      <c r="P81" s="12">
        <f t="shared" si="3"/>
        <v>0</v>
      </c>
    </row>
    <row r="82" spans="1:16" s="1" customFormat="1" ht="64" x14ac:dyDescent="0.2">
      <c r="A82" s="14" t="s">
        <v>137</v>
      </c>
      <c r="B82" s="15" t="s">
        <v>255</v>
      </c>
      <c r="C82" s="16"/>
      <c r="D82" s="11">
        <v>0.98</v>
      </c>
      <c r="O82" s="1">
        <f t="shared" si="4"/>
        <v>0</v>
      </c>
      <c r="P82" s="12">
        <f t="shared" si="3"/>
        <v>0</v>
      </c>
    </row>
    <row r="83" spans="1:16" s="1" customFormat="1" ht="128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4"/>
        <v>0</v>
      </c>
      <c r="P83" s="12">
        <f t="shared" si="3"/>
        <v>0</v>
      </c>
    </row>
    <row r="84" spans="1:16" s="1" customFormat="1" ht="224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4"/>
        <v>0</v>
      </c>
      <c r="P84" s="12">
        <f t="shared" si="3"/>
        <v>0</v>
      </c>
    </row>
    <row r="85" spans="1:16" s="1" customFormat="1" ht="192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4"/>
        <v>0</v>
      </c>
      <c r="P85" s="12">
        <f t="shared" si="3"/>
        <v>0</v>
      </c>
    </row>
    <row r="86" spans="1:16" s="1" customFormat="1" ht="192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4"/>
        <v>0</v>
      </c>
      <c r="P86" s="12">
        <f t="shared" si="3"/>
        <v>0</v>
      </c>
    </row>
    <row r="87" spans="1:16" s="1" customFormat="1" ht="128" x14ac:dyDescent="0.2">
      <c r="A87" s="14" t="s">
        <v>180</v>
      </c>
      <c r="B87" s="10" t="s">
        <v>181</v>
      </c>
      <c r="C87" s="10"/>
      <c r="D87" s="11">
        <v>0.75</v>
      </c>
      <c r="O87" s="1">
        <f t="shared" si="4"/>
        <v>0</v>
      </c>
      <c r="P87" s="12">
        <f t="shared" si="3"/>
        <v>0</v>
      </c>
    </row>
    <row r="88" spans="1:16" s="1" customFormat="1" ht="128" x14ac:dyDescent="0.2">
      <c r="A88" s="14" t="s">
        <v>182</v>
      </c>
      <c r="B88" s="10" t="s">
        <v>183</v>
      </c>
      <c r="C88" s="10"/>
      <c r="D88" s="11">
        <v>0.75</v>
      </c>
      <c r="O88" s="1">
        <f t="shared" si="4"/>
        <v>0</v>
      </c>
      <c r="P88" s="12">
        <f t="shared" si="3"/>
        <v>0</v>
      </c>
    </row>
    <row r="89" spans="1:16" s="1" customFormat="1" ht="128" x14ac:dyDescent="0.2">
      <c r="A89" s="14" t="s">
        <v>184</v>
      </c>
      <c r="B89" s="10" t="s">
        <v>185</v>
      </c>
      <c r="C89" s="10"/>
      <c r="D89" s="11">
        <v>0.75</v>
      </c>
      <c r="O89" s="1">
        <f t="shared" si="4"/>
        <v>0</v>
      </c>
      <c r="P89" s="12">
        <f t="shared" si="3"/>
        <v>0</v>
      </c>
    </row>
    <row r="90" spans="1:16" s="1" customFormat="1" ht="128" x14ac:dyDescent="0.2">
      <c r="A90" s="14" t="s">
        <v>186</v>
      </c>
      <c r="B90" s="14" t="s">
        <v>256</v>
      </c>
      <c r="C90" s="10"/>
      <c r="D90" s="11">
        <v>0.75</v>
      </c>
      <c r="O90" s="1">
        <f t="shared" si="4"/>
        <v>0</v>
      </c>
      <c r="P90" s="12">
        <f t="shared" si="3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7B3F-6F3D-704F-B7D5-8B411753BC7B}">
  <sheetPr>
    <tabColor theme="4"/>
  </sheetPr>
  <dimension ref="A1:R92"/>
  <sheetViews>
    <sheetView topLeftCell="F1" workbookViewId="0">
      <selection activeCell="K3" sqref="K3"/>
    </sheetView>
  </sheetViews>
  <sheetFormatPr baseColWidth="10" defaultRowHeight="16" x14ac:dyDescent="0.2"/>
  <cols>
    <col min="1" max="1" width="65" customWidth="1"/>
    <col min="2" max="2" width="51" customWidth="1"/>
    <col min="3" max="3" width="62.5" customWidth="1"/>
    <col min="4" max="4" width="47.1640625" customWidth="1"/>
    <col min="5" max="5" width="45" customWidth="1"/>
    <col min="6" max="6" width="41.83203125" customWidth="1"/>
    <col min="7" max="7" width="52.1640625" customWidth="1"/>
    <col min="8" max="8" width="41" customWidth="1"/>
    <col min="9" max="9" width="46.33203125" customWidth="1"/>
    <col min="10" max="10" width="44.1640625" customWidth="1"/>
    <col min="11" max="11" width="6.1640625" customWidth="1"/>
    <col min="12" max="12" width="6.6640625" customWidth="1"/>
    <col min="13" max="13" width="4.83203125" customWidth="1"/>
    <col min="14" max="14" width="5.1640625" customWidth="1"/>
    <col min="15" max="15" width="35" customWidth="1"/>
    <col min="16" max="16" width="36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250</v>
      </c>
      <c r="F1" s="4" t="s">
        <v>266</v>
      </c>
      <c r="G1" s="4" t="s">
        <v>251</v>
      </c>
      <c r="H1" s="4" t="s">
        <v>252</v>
      </c>
      <c r="I1" s="4" t="s">
        <v>267</v>
      </c>
      <c r="J1" s="4" t="s">
        <v>253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G4" s="1">
        <f>6*G3</f>
        <v>0</v>
      </c>
      <c r="J4" s="1">
        <f t="shared" ref="J4" si="0">6*J3</f>
        <v>0</v>
      </c>
      <c r="O4" s="1">
        <f>SUM(E4:J4)</f>
        <v>0</v>
      </c>
      <c r="P4" s="12">
        <f t="shared" ref="P4:P35" si="1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2*G3</f>
        <v>0</v>
      </c>
      <c r="J5" s="1">
        <f t="shared" ref="J5" si="2">2*J3</f>
        <v>0</v>
      </c>
      <c r="O5" s="1">
        <f t="shared" ref="O5:O68" si="3">SUM(E5:J5)</f>
        <v>0</v>
      </c>
      <c r="P5" s="12">
        <f t="shared" si="1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E6" s="1">
        <f>6*E3</f>
        <v>0</v>
      </c>
      <c r="F6" s="1">
        <f>6*F3</f>
        <v>0</v>
      </c>
      <c r="H6" s="1">
        <f t="shared" ref="H6:I6" si="4">6*H3</f>
        <v>0</v>
      </c>
      <c r="I6" s="1">
        <f t="shared" si="4"/>
        <v>0</v>
      </c>
      <c r="O6" s="1">
        <f t="shared" si="3"/>
        <v>0</v>
      </c>
      <c r="P6" s="12">
        <f t="shared" si="1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2*E3</f>
        <v>0</v>
      </c>
      <c r="F7" s="1">
        <f t="shared" ref="F7:I7" si="5">2*F3</f>
        <v>0</v>
      </c>
      <c r="H7" s="1">
        <f t="shared" si="5"/>
        <v>0</v>
      </c>
      <c r="I7" s="1">
        <f t="shared" si="5"/>
        <v>0</v>
      </c>
      <c r="O7" s="1">
        <f t="shared" si="3"/>
        <v>0</v>
      </c>
      <c r="P7" s="12">
        <f t="shared" si="1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3"/>
        <v>0</v>
      </c>
      <c r="P8" s="12">
        <f t="shared" si="1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3"/>
        <v>0</v>
      </c>
      <c r="P9" s="12">
        <f t="shared" si="1"/>
        <v>0</v>
      </c>
    </row>
    <row r="10" spans="1:18" s="1" customFormat="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9*J3</f>
        <v>0</v>
      </c>
      <c r="O10" s="1">
        <f t="shared" si="3"/>
        <v>0</v>
      </c>
      <c r="P10" s="12">
        <f t="shared" si="1"/>
        <v>0</v>
      </c>
    </row>
    <row r="11" spans="1:18" s="1" customFormat="1" ht="128" customHeight="1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9*H3</f>
        <v>0</v>
      </c>
      <c r="I11" s="1">
        <f>9*I3</f>
        <v>0</v>
      </c>
      <c r="O11" s="1">
        <f t="shared" si="3"/>
        <v>0</v>
      </c>
      <c r="P11" s="12">
        <f t="shared" si="1"/>
        <v>0</v>
      </c>
    </row>
    <row r="12" spans="1:18" s="1" customFormat="1" ht="96" x14ac:dyDescent="0.2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3"/>
        <v>0</v>
      </c>
      <c r="P12" s="12">
        <f t="shared" si="1"/>
        <v>0</v>
      </c>
    </row>
    <row r="13" spans="1:18" s="1" customFormat="1" ht="96" x14ac:dyDescent="0.2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3"/>
        <v>0</v>
      </c>
      <c r="P13" s="12">
        <f t="shared" si="1"/>
        <v>0</v>
      </c>
    </row>
    <row r="14" spans="1:18" s="1" customFormat="1" ht="96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3"/>
        <v>0</v>
      </c>
      <c r="P14" s="12">
        <f t="shared" si="1"/>
        <v>0</v>
      </c>
    </row>
    <row r="15" spans="1:18" s="1" customFormat="1" ht="96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3"/>
        <v>0</v>
      </c>
      <c r="P15" s="12">
        <f t="shared" si="1"/>
        <v>0</v>
      </c>
    </row>
    <row r="16" spans="1:18" s="1" customFormat="1" ht="96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3"/>
        <v>0</v>
      </c>
      <c r="P16" s="12">
        <f t="shared" si="1"/>
        <v>0</v>
      </c>
    </row>
    <row r="17" spans="1:16" s="1" customFormat="1" ht="96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3"/>
        <v>0</v>
      </c>
      <c r="P17" s="12">
        <f t="shared" si="1"/>
        <v>0</v>
      </c>
    </row>
    <row r="18" spans="1:16" s="1" customFormat="1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9*G3</f>
        <v>0</v>
      </c>
      <c r="O18" s="1">
        <f t="shared" si="3"/>
        <v>0</v>
      </c>
      <c r="P18" s="12">
        <f t="shared" si="1"/>
        <v>0</v>
      </c>
    </row>
    <row r="19" spans="1:16" s="1" customFormat="1" ht="96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3"/>
        <v>0</v>
      </c>
      <c r="P19" s="12">
        <f t="shared" si="1"/>
        <v>0</v>
      </c>
    </row>
    <row r="20" spans="1:16" s="1" customFormat="1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9*E3</f>
        <v>0</v>
      </c>
      <c r="F20" s="1">
        <f>9*F3</f>
        <v>0</v>
      </c>
      <c r="O20" s="1">
        <f t="shared" si="3"/>
        <v>0</v>
      </c>
      <c r="P20" s="12">
        <f t="shared" si="1"/>
        <v>0</v>
      </c>
    </row>
    <row r="21" spans="1:16" s="1" customFormat="1" ht="96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3"/>
        <v>0</v>
      </c>
      <c r="P21" s="12">
        <f t="shared" si="1"/>
        <v>0</v>
      </c>
    </row>
    <row r="22" spans="1:16" s="1" customFormat="1" ht="96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3"/>
        <v>0</v>
      </c>
      <c r="P22" s="12">
        <f t="shared" si="1"/>
        <v>0</v>
      </c>
    </row>
    <row r="23" spans="1:16" s="1" customFormat="1" ht="96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3"/>
        <v>0</v>
      </c>
      <c r="P23" s="12">
        <f t="shared" si="1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3"/>
        <v>0</v>
      </c>
      <c r="P24" s="12">
        <f t="shared" si="1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3"/>
        <v>0</v>
      </c>
      <c r="P25" s="12">
        <f t="shared" si="1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3"/>
        <v>0</v>
      </c>
      <c r="P26" s="12">
        <f t="shared" si="1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3"/>
        <v>0</v>
      </c>
      <c r="P27" s="12">
        <f t="shared" si="1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3"/>
        <v>0</v>
      </c>
      <c r="P28" s="12">
        <f t="shared" si="1"/>
        <v>0</v>
      </c>
    </row>
    <row r="29" spans="1:16" s="1" customFormat="1" ht="96" x14ac:dyDescent="0.2">
      <c r="A29" s="14" t="s">
        <v>170</v>
      </c>
      <c r="B29" s="14" t="s">
        <v>171</v>
      </c>
      <c r="C29" s="10"/>
      <c r="D29" s="11">
        <v>7.2</v>
      </c>
      <c r="O29" s="1">
        <f t="shared" si="3"/>
        <v>0</v>
      </c>
      <c r="P29" s="12">
        <f t="shared" si="1"/>
        <v>0</v>
      </c>
    </row>
    <row r="30" spans="1:16" s="1" customFormat="1" ht="96" x14ac:dyDescent="0.2">
      <c r="A30" s="78" t="s">
        <v>312</v>
      </c>
      <c r="B30" s="14" t="s">
        <v>173</v>
      </c>
      <c r="C30" s="10"/>
      <c r="D30" s="11">
        <v>7.2</v>
      </c>
      <c r="O30" s="1">
        <f t="shared" si="3"/>
        <v>0</v>
      </c>
      <c r="P30" s="12">
        <f t="shared" si="1"/>
        <v>0</v>
      </c>
    </row>
    <row r="31" spans="1:16" s="1" customFormat="1" ht="96" x14ac:dyDescent="0.2">
      <c r="A31" s="14" t="s">
        <v>172</v>
      </c>
      <c r="B31" s="14" t="s">
        <v>173</v>
      </c>
      <c r="C31" s="10"/>
      <c r="D31" s="11">
        <v>7.2</v>
      </c>
      <c r="O31" s="1">
        <f t="shared" si="3"/>
        <v>0</v>
      </c>
      <c r="P31" s="12">
        <f t="shared" si="1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3"/>
        <v>0</v>
      </c>
      <c r="P32" s="12">
        <f t="shared" si="1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3"/>
        <v>0</v>
      </c>
      <c r="P33" s="12">
        <f t="shared" si="1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3"/>
        <v>0</v>
      </c>
      <c r="P34" s="12">
        <f t="shared" si="1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3"/>
        <v>0</v>
      </c>
      <c r="P35" s="12">
        <f t="shared" si="1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3"/>
        <v>0</v>
      </c>
      <c r="P36" s="12">
        <f t="shared" ref="P36:P67" si="6">D36*O36</f>
        <v>0</v>
      </c>
    </row>
    <row r="37" spans="1:16" s="1" customFormat="1" ht="64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3"/>
        <v>0</v>
      </c>
      <c r="P37" s="12">
        <f t="shared" si="6"/>
        <v>0</v>
      </c>
    </row>
    <row r="38" spans="1:16" s="1" customFormat="1" ht="64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3"/>
        <v>0</v>
      </c>
      <c r="P38" s="12">
        <f t="shared" si="6"/>
        <v>0</v>
      </c>
    </row>
    <row r="39" spans="1:16" s="1" customFormat="1" ht="64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3"/>
        <v>0</v>
      </c>
      <c r="P39" s="12">
        <f t="shared" si="6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3"/>
        <v>0</v>
      </c>
      <c r="P40" s="12">
        <f t="shared" si="6"/>
        <v>0</v>
      </c>
    </row>
    <row r="41" spans="1:16" s="1" customFormat="1" ht="64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3"/>
        <v>0</v>
      </c>
      <c r="P41" s="12">
        <f t="shared" si="6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3"/>
        <v>0</v>
      </c>
      <c r="P42" s="12">
        <f t="shared" si="6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3"/>
        <v>0</v>
      </c>
      <c r="P43" s="12">
        <f t="shared" si="6"/>
        <v>0</v>
      </c>
    </row>
    <row r="44" spans="1:16" s="1" customFormat="1" ht="85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16*H3</f>
        <v>0</v>
      </c>
      <c r="I44" s="1">
        <f>16*I3</f>
        <v>0</v>
      </c>
      <c r="J44" s="1">
        <f>16*J3</f>
        <v>0</v>
      </c>
      <c r="O44" s="1">
        <f t="shared" si="3"/>
        <v>0</v>
      </c>
      <c r="P44" s="12">
        <f t="shared" si="6"/>
        <v>0</v>
      </c>
    </row>
    <row r="45" spans="1:16" s="1" customFormat="1" ht="85" customHeight="1" x14ac:dyDescent="0.2">
      <c r="A45" s="9" t="s">
        <v>13</v>
      </c>
      <c r="B45" s="9" t="s">
        <v>60</v>
      </c>
      <c r="C45" s="10"/>
      <c r="D45" s="11">
        <v>0.73</v>
      </c>
      <c r="E45" s="1">
        <f>16*E3</f>
        <v>0</v>
      </c>
      <c r="F45" s="1">
        <f>16*F3</f>
        <v>0</v>
      </c>
      <c r="G45" s="1">
        <f>16*G3</f>
        <v>0</v>
      </c>
      <c r="O45" s="1">
        <f t="shared" si="3"/>
        <v>0</v>
      </c>
      <c r="P45" s="12">
        <f t="shared" si="6"/>
        <v>0</v>
      </c>
    </row>
    <row r="46" spans="1:16" s="1" customFormat="1" ht="89" customHeight="1" x14ac:dyDescent="0.2">
      <c r="A46" s="9" t="s">
        <v>135</v>
      </c>
      <c r="B46" s="9" t="s">
        <v>134</v>
      </c>
      <c r="C46" s="10"/>
      <c r="D46" s="11">
        <v>0.73</v>
      </c>
      <c r="O46" s="1">
        <f t="shared" si="3"/>
        <v>0</v>
      </c>
      <c r="P46" s="12">
        <f t="shared" si="6"/>
        <v>0</v>
      </c>
    </row>
    <row r="47" spans="1:16" s="1" customFormat="1" ht="95" customHeight="1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3"/>
        <v>0</v>
      </c>
      <c r="P47" s="12">
        <f t="shared" si="6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3"/>
        <v>0</v>
      </c>
      <c r="P48" s="12">
        <f t="shared" si="6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3"/>
        <v>0</v>
      </c>
      <c r="P49" s="12">
        <f t="shared" si="6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3"/>
        <v>0</v>
      </c>
      <c r="P50" s="12">
        <f t="shared" si="6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E51" s="1">
        <f>2*E3</f>
        <v>0</v>
      </c>
      <c r="F51" s="1">
        <f>1*F3</f>
        <v>0</v>
      </c>
      <c r="G51" s="1">
        <f>2*G3</f>
        <v>0</v>
      </c>
      <c r="H51" s="1">
        <f>2*H3</f>
        <v>0</v>
      </c>
      <c r="I51" s="1">
        <f>1*I3</f>
        <v>0</v>
      </c>
      <c r="J51" s="1">
        <f>2*J3</f>
        <v>0</v>
      </c>
      <c r="O51" s="1">
        <f t="shared" si="3"/>
        <v>0</v>
      </c>
      <c r="P51" s="12">
        <f t="shared" si="6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O52" s="1">
        <f t="shared" si="3"/>
        <v>0</v>
      </c>
      <c r="P52" s="12">
        <f t="shared" si="6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O53" s="1">
        <f t="shared" si="3"/>
        <v>0</v>
      </c>
      <c r="P53" s="12">
        <f t="shared" si="6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2*H3</f>
        <v>0</v>
      </c>
      <c r="I54" s="1">
        <f>1*I3</f>
        <v>0</v>
      </c>
      <c r="J54" s="1">
        <f>2*J3</f>
        <v>0</v>
      </c>
      <c r="O54" s="1">
        <f t="shared" si="3"/>
        <v>0</v>
      </c>
      <c r="P54" s="12">
        <f t="shared" si="6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2*E3</f>
        <v>0</v>
      </c>
      <c r="F55" s="1">
        <f>1*F3</f>
        <v>0</v>
      </c>
      <c r="G55" s="1">
        <f>2*G3</f>
        <v>0</v>
      </c>
      <c r="O55" s="1">
        <f t="shared" si="3"/>
        <v>0</v>
      </c>
      <c r="P55" s="12">
        <f t="shared" si="6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3"/>
        <v>0</v>
      </c>
      <c r="P56" s="12">
        <f t="shared" si="6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>2*E3</f>
        <v>0</v>
      </c>
      <c r="F57" s="1">
        <f>1*F3</f>
        <v>0</v>
      </c>
      <c r="G57" s="1">
        <f>2*G3</f>
        <v>0</v>
      </c>
      <c r="H57" s="1">
        <f>2*H3</f>
        <v>0</v>
      </c>
      <c r="I57" s="1">
        <f>1*I3</f>
        <v>0</v>
      </c>
      <c r="J57" s="1">
        <f>2*J3</f>
        <v>0</v>
      </c>
      <c r="O57" s="1">
        <f t="shared" si="3"/>
        <v>0</v>
      </c>
      <c r="P57" s="12">
        <f t="shared" si="6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>2*E3</f>
        <v>0</v>
      </c>
      <c r="F58" s="1">
        <f>1*F3</f>
        <v>0</v>
      </c>
      <c r="G58" s="1">
        <f>2*G3</f>
        <v>0</v>
      </c>
      <c r="H58" s="1">
        <f>2*H3</f>
        <v>0</v>
      </c>
      <c r="I58" s="1">
        <f>1*I3</f>
        <v>0</v>
      </c>
      <c r="J58" s="1">
        <f>2*J3</f>
        <v>0</v>
      </c>
      <c r="O58" s="1">
        <f t="shared" si="3"/>
        <v>0</v>
      </c>
      <c r="P58" s="12">
        <f t="shared" si="6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2*E3</f>
        <v>0</v>
      </c>
      <c r="F59" s="1">
        <f>1*F3</f>
        <v>0</v>
      </c>
      <c r="G59" s="1">
        <f>2*G3</f>
        <v>0</v>
      </c>
      <c r="H59" s="1">
        <f>2*H3</f>
        <v>0</v>
      </c>
      <c r="I59" s="1">
        <f>1*I3</f>
        <v>0</v>
      </c>
      <c r="J59" s="1">
        <f>2*J3</f>
        <v>0</v>
      </c>
      <c r="O59" s="1">
        <f t="shared" si="3"/>
        <v>0</v>
      </c>
      <c r="P59" s="12">
        <f t="shared" si="6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>2*E3</f>
        <v>0</v>
      </c>
      <c r="F60" s="1">
        <f>1*F3</f>
        <v>0</v>
      </c>
      <c r="G60" s="1">
        <f>2*G3</f>
        <v>0</v>
      </c>
      <c r="H60" s="1">
        <f>2*H3</f>
        <v>0</v>
      </c>
      <c r="I60" s="1">
        <f>1*I3</f>
        <v>0</v>
      </c>
      <c r="J60" s="1">
        <f>2*J3</f>
        <v>0</v>
      </c>
      <c r="O60" s="1">
        <f t="shared" si="3"/>
        <v>0</v>
      </c>
      <c r="P60" s="12">
        <f t="shared" si="6"/>
        <v>0</v>
      </c>
    </row>
    <row r="61" spans="1:16" s="1" customFormat="1" ht="64" x14ac:dyDescent="0.2">
      <c r="A61" s="14" t="s">
        <v>26</v>
      </c>
      <c r="B61" s="14" t="s">
        <v>72</v>
      </c>
      <c r="C61" s="10"/>
      <c r="D61" s="11">
        <v>3.49</v>
      </c>
      <c r="O61" s="1">
        <f t="shared" si="3"/>
        <v>0</v>
      </c>
      <c r="P61" s="12">
        <f t="shared" si="6"/>
        <v>0</v>
      </c>
    </row>
    <row r="62" spans="1:16" s="1" customFormat="1" ht="160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3"/>
        <v>0</v>
      </c>
      <c r="P62" s="12">
        <f t="shared" si="6"/>
        <v>0</v>
      </c>
    </row>
    <row r="63" spans="1:16" s="1" customFormat="1" ht="181" customHeight="1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3"/>
        <v>0</v>
      </c>
      <c r="P63" s="12">
        <f t="shared" si="6"/>
        <v>0</v>
      </c>
    </row>
    <row r="64" spans="1:16" s="1" customFormat="1" ht="79" customHeight="1" x14ac:dyDescent="0.2">
      <c r="A64" s="14" t="s">
        <v>29</v>
      </c>
      <c r="B64" s="14" t="s">
        <v>75</v>
      </c>
      <c r="C64" s="10"/>
      <c r="D64" s="11">
        <v>1.1399999999999999</v>
      </c>
      <c r="E64" s="1">
        <f>2*E3</f>
        <v>0</v>
      </c>
      <c r="F64" s="1">
        <f>1*F3</f>
        <v>0</v>
      </c>
      <c r="G64" s="1">
        <f>2*G3</f>
        <v>0</v>
      </c>
      <c r="H64" s="1">
        <f>2*H3</f>
        <v>0</v>
      </c>
      <c r="I64" s="1">
        <f>1*I3</f>
        <v>0</v>
      </c>
      <c r="J64" s="1">
        <f>2*J3</f>
        <v>0</v>
      </c>
      <c r="O64" s="1">
        <f t="shared" si="3"/>
        <v>0</v>
      </c>
      <c r="P64" s="12">
        <f t="shared" si="6"/>
        <v>0</v>
      </c>
    </row>
    <row r="65" spans="1:16" s="1" customFormat="1" ht="62" customHeight="1" x14ac:dyDescent="0.2">
      <c r="A65" s="14" t="s">
        <v>30</v>
      </c>
      <c r="B65" s="14" t="s">
        <v>76</v>
      </c>
      <c r="C65" s="10"/>
      <c r="D65" s="11">
        <v>1.22</v>
      </c>
      <c r="O65" s="1">
        <f t="shared" si="3"/>
        <v>0</v>
      </c>
      <c r="P65" s="12">
        <f t="shared" si="6"/>
        <v>0</v>
      </c>
    </row>
    <row r="66" spans="1:16" s="1" customFormat="1" ht="32" x14ac:dyDescent="0.2">
      <c r="A66" s="14" t="s">
        <v>31</v>
      </c>
      <c r="B66" s="14" t="s">
        <v>257</v>
      </c>
      <c r="C66" s="10"/>
      <c r="D66" s="11">
        <v>2.15</v>
      </c>
      <c r="O66" s="1">
        <f t="shared" si="3"/>
        <v>0</v>
      </c>
      <c r="P66" s="12">
        <f t="shared" si="6"/>
        <v>0</v>
      </c>
    </row>
    <row r="67" spans="1:16" s="1" customFormat="1" ht="64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3"/>
        <v>0</v>
      </c>
      <c r="P67" s="12">
        <f t="shared" si="6"/>
        <v>0</v>
      </c>
    </row>
    <row r="68" spans="1:16" s="1" customFormat="1" ht="64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3"/>
        <v>0</v>
      </c>
      <c r="P68" s="12">
        <f t="shared" ref="P68:P90" si="7">D68*O68</f>
        <v>0</v>
      </c>
    </row>
    <row r="69" spans="1:16" s="1" customFormat="1" ht="98" customHeight="1" x14ac:dyDescent="0.2">
      <c r="A69" s="14" t="s">
        <v>176</v>
      </c>
      <c r="B69" s="14" t="s">
        <v>192</v>
      </c>
      <c r="C69" s="10"/>
      <c r="D69" s="11">
        <v>5.5579999999999998</v>
      </c>
      <c r="E69" s="1">
        <f>1*E3</f>
        <v>0</v>
      </c>
      <c r="G69" s="1">
        <f>1*G3</f>
        <v>0</v>
      </c>
      <c r="H69" s="1">
        <f>1*H3</f>
        <v>0</v>
      </c>
      <c r="J69" s="1">
        <f>1*J3</f>
        <v>0</v>
      </c>
      <c r="O69" s="1">
        <f t="shared" ref="O69:O90" si="8">SUM(E69:J69)</f>
        <v>0</v>
      </c>
      <c r="P69" s="12">
        <f t="shared" si="7"/>
        <v>0</v>
      </c>
    </row>
    <row r="70" spans="1:16" s="1" customFormat="1" ht="64" x14ac:dyDescent="0.2">
      <c r="A70" s="14" t="s">
        <v>177</v>
      </c>
      <c r="B70" s="14" t="s">
        <v>193</v>
      </c>
      <c r="C70" s="10"/>
      <c r="D70" s="11">
        <v>5.5579999999999998</v>
      </c>
      <c r="E70" s="1">
        <f>1*E3</f>
        <v>0</v>
      </c>
      <c r="G70" s="1">
        <f>1*G3</f>
        <v>0</v>
      </c>
      <c r="H70" s="1">
        <f>1*H3</f>
        <v>0</v>
      </c>
      <c r="J70" s="1">
        <f>1*J3</f>
        <v>0</v>
      </c>
      <c r="O70" s="1">
        <f t="shared" si="8"/>
        <v>0</v>
      </c>
      <c r="P70" s="12">
        <f t="shared" si="7"/>
        <v>0</v>
      </c>
    </row>
    <row r="71" spans="1:16" s="1" customFormat="1" ht="64" x14ac:dyDescent="0.2">
      <c r="A71" s="14" t="s">
        <v>178</v>
      </c>
      <c r="B71" s="14" t="s">
        <v>194</v>
      </c>
      <c r="C71" s="10"/>
      <c r="D71" s="11">
        <v>5.5579999999999998</v>
      </c>
      <c r="O71" s="1">
        <f t="shared" si="8"/>
        <v>0</v>
      </c>
      <c r="P71" s="12">
        <f t="shared" si="7"/>
        <v>0</v>
      </c>
    </row>
    <row r="72" spans="1:16" s="1" customFormat="1" ht="64" x14ac:dyDescent="0.2">
      <c r="A72" s="14" t="s">
        <v>179</v>
      </c>
      <c r="B72" s="14" t="s">
        <v>195</v>
      </c>
      <c r="C72" s="10"/>
      <c r="D72" s="11">
        <v>5.5579999999999998</v>
      </c>
      <c r="O72" s="1">
        <f t="shared" si="8"/>
        <v>0</v>
      </c>
      <c r="P72" s="12">
        <f t="shared" si="7"/>
        <v>0</v>
      </c>
    </row>
    <row r="73" spans="1:16" s="1" customFormat="1" ht="64" x14ac:dyDescent="0.2">
      <c r="A73" s="14" t="s">
        <v>34</v>
      </c>
      <c r="B73" s="14" t="s">
        <v>79</v>
      </c>
      <c r="C73" s="10"/>
      <c r="D73" s="11">
        <v>3.3879999999999999</v>
      </c>
      <c r="O73" s="1">
        <f t="shared" si="8"/>
        <v>0</v>
      </c>
      <c r="P73" s="12">
        <f t="shared" si="7"/>
        <v>0</v>
      </c>
    </row>
    <row r="74" spans="1:16" s="1" customFormat="1" ht="64" x14ac:dyDescent="0.2">
      <c r="A74" s="14" t="s">
        <v>35</v>
      </c>
      <c r="B74" s="14" t="s">
        <v>80</v>
      </c>
      <c r="C74" s="10"/>
      <c r="D74" s="11">
        <v>3.3879999999999999</v>
      </c>
      <c r="O74" s="1">
        <f t="shared" si="8"/>
        <v>0</v>
      </c>
      <c r="P74" s="12">
        <f t="shared" si="7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8"/>
        <v>0</v>
      </c>
      <c r="P75" s="12">
        <f t="shared" si="7"/>
        <v>0</v>
      </c>
    </row>
    <row r="76" spans="1:16" s="1" customFormat="1" ht="64" x14ac:dyDescent="0.2">
      <c r="A76" s="14" t="s">
        <v>37</v>
      </c>
      <c r="B76" s="14" t="s">
        <v>82</v>
      </c>
      <c r="C76" s="10"/>
      <c r="D76" s="11">
        <v>2.702</v>
      </c>
      <c r="O76" s="1">
        <f t="shared" si="8"/>
        <v>0</v>
      </c>
      <c r="P76" s="12">
        <f t="shared" si="7"/>
        <v>0</v>
      </c>
    </row>
    <row r="77" spans="1:16" s="1" customFormat="1" ht="64" x14ac:dyDescent="0.2">
      <c r="A77" s="14" t="s">
        <v>38</v>
      </c>
      <c r="B77" s="14" t="s">
        <v>83</v>
      </c>
      <c r="C77" s="10"/>
      <c r="D77" s="11">
        <v>0.68599999999999994</v>
      </c>
      <c r="H77" s="1">
        <f>1*H3</f>
        <v>0</v>
      </c>
      <c r="J77" s="1">
        <f>1*J3</f>
        <v>0</v>
      </c>
      <c r="O77" s="1">
        <f t="shared" si="8"/>
        <v>0</v>
      </c>
      <c r="P77" s="12">
        <f t="shared" si="7"/>
        <v>0</v>
      </c>
    </row>
    <row r="78" spans="1:16" s="1" customFormat="1" ht="64" x14ac:dyDescent="0.2">
      <c r="A78" s="14" t="s">
        <v>39</v>
      </c>
      <c r="B78" s="14" t="s">
        <v>84</v>
      </c>
      <c r="C78" s="10"/>
      <c r="D78" s="11">
        <v>0.68599999999999994</v>
      </c>
      <c r="H78" s="1">
        <f>1*H3</f>
        <v>0</v>
      </c>
      <c r="J78" s="1">
        <f>1*J3</f>
        <v>0</v>
      </c>
      <c r="O78" s="1">
        <f t="shared" si="8"/>
        <v>0</v>
      </c>
      <c r="P78" s="12">
        <f t="shared" si="7"/>
        <v>0</v>
      </c>
    </row>
    <row r="79" spans="1:16" s="1" customFormat="1" ht="64" x14ac:dyDescent="0.2">
      <c r="A79" s="14" t="s">
        <v>40</v>
      </c>
      <c r="B79" s="14" t="s">
        <v>85</v>
      </c>
      <c r="C79" s="10"/>
      <c r="D79" s="11">
        <v>0.98</v>
      </c>
      <c r="E79" s="1">
        <f>1*E3</f>
        <v>0</v>
      </c>
      <c r="G79" s="1">
        <f>1*G3</f>
        <v>0</v>
      </c>
      <c r="O79" s="1">
        <f t="shared" si="8"/>
        <v>0</v>
      </c>
      <c r="P79" s="12">
        <f t="shared" si="7"/>
        <v>0</v>
      </c>
    </row>
    <row r="80" spans="1:16" s="1" customFormat="1" ht="64" x14ac:dyDescent="0.2">
      <c r="A80" s="14" t="s">
        <v>41</v>
      </c>
      <c r="B80" s="15" t="s">
        <v>254</v>
      </c>
      <c r="C80" s="16"/>
      <c r="D80" s="11">
        <v>0.98</v>
      </c>
      <c r="E80" s="1">
        <f>1*E3</f>
        <v>0</v>
      </c>
      <c r="G80" s="1">
        <f>1*G3</f>
        <v>0</v>
      </c>
      <c r="O80" s="1">
        <f t="shared" si="8"/>
        <v>0</v>
      </c>
      <c r="P80" s="12">
        <f t="shared" si="7"/>
        <v>0</v>
      </c>
    </row>
    <row r="81" spans="1:16" s="1" customFormat="1" ht="64" x14ac:dyDescent="0.2">
      <c r="A81" s="14" t="s">
        <v>136</v>
      </c>
      <c r="B81" s="14" t="s">
        <v>132</v>
      </c>
      <c r="C81" s="10"/>
      <c r="D81" s="11">
        <v>0.98</v>
      </c>
      <c r="O81" s="1">
        <f t="shared" si="8"/>
        <v>0</v>
      </c>
      <c r="P81" s="12">
        <f t="shared" si="7"/>
        <v>0</v>
      </c>
    </row>
    <row r="82" spans="1:16" s="1" customFormat="1" ht="64" x14ac:dyDescent="0.2">
      <c r="A82" s="14" t="s">
        <v>137</v>
      </c>
      <c r="B82" s="15" t="s">
        <v>255</v>
      </c>
      <c r="C82" s="16"/>
      <c r="D82" s="11">
        <v>0.98</v>
      </c>
      <c r="O82" s="1">
        <f t="shared" si="8"/>
        <v>0</v>
      </c>
      <c r="P82" s="12">
        <f t="shared" si="7"/>
        <v>0</v>
      </c>
    </row>
    <row r="83" spans="1:16" s="1" customFormat="1" ht="128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8"/>
        <v>0</v>
      </c>
      <c r="P83" s="12">
        <f t="shared" si="7"/>
        <v>0</v>
      </c>
    </row>
    <row r="84" spans="1:16" s="1" customFormat="1" ht="256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8"/>
        <v>0</v>
      </c>
      <c r="P84" s="12">
        <f t="shared" si="7"/>
        <v>0</v>
      </c>
    </row>
    <row r="85" spans="1:16" s="1" customFormat="1" ht="256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8"/>
        <v>0</v>
      </c>
      <c r="P85" s="12">
        <f t="shared" si="7"/>
        <v>0</v>
      </c>
    </row>
    <row r="86" spans="1:16" s="1" customFormat="1" ht="256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8"/>
        <v>0</v>
      </c>
      <c r="P86" s="12">
        <f t="shared" si="7"/>
        <v>0</v>
      </c>
    </row>
    <row r="87" spans="1:16" s="1" customFormat="1" ht="128" x14ac:dyDescent="0.2">
      <c r="A87" s="14" t="s">
        <v>180</v>
      </c>
      <c r="B87" s="10" t="s">
        <v>181</v>
      </c>
      <c r="C87" s="10"/>
      <c r="D87" s="11">
        <v>0.75</v>
      </c>
      <c r="O87" s="1">
        <f t="shared" si="8"/>
        <v>0</v>
      </c>
      <c r="P87" s="12">
        <f t="shared" si="7"/>
        <v>0</v>
      </c>
    </row>
    <row r="88" spans="1:16" s="1" customFormat="1" ht="128" x14ac:dyDescent="0.2">
      <c r="A88" s="14" t="s">
        <v>182</v>
      </c>
      <c r="B88" s="10" t="s">
        <v>183</v>
      </c>
      <c r="C88" s="10"/>
      <c r="D88" s="11">
        <v>0.75</v>
      </c>
      <c r="O88" s="1">
        <f t="shared" si="8"/>
        <v>0</v>
      </c>
      <c r="P88" s="12">
        <f t="shared" si="7"/>
        <v>0</v>
      </c>
    </row>
    <row r="89" spans="1:16" s="1" customFormat="1" ht="128" x14ac:dyDescent="0.2">
      <c r="A89" s="14" t="s">
        <v>184</v>
      </c>
      <c r="B89" s="10" t="s">
        <v>185</v>
      </c>
      <c r="C89" s="10"/>
      <c r="D89" s="11">
        <v>0.75</v>
      </c>
      <c r="O89" s="1">
        <f t="shared" si="8"/>
        <v>0</v>
      </c>
      <c r="P89" s="12">
        <f t="shared" si="7"/>
        <v>0</v>
      </c>
    </row>
    <row r="90" spans="1:16" s="1" customFormat="1" ht="128" x14ac:dyDescent="0.2">
      <c r="A90" s="14" t="s">
        <v>186</v>
      </c>
      <c r="B90" s="14" t="s">
        <v>256</v>
      </c>
      <c r="C90" s="10"/>
      <c r="D90" s="11">
        <v>0.75</v>
      </c>
      <c r="O90" s="1">
        <f t="shared" si="8"/>
        <v>0</v>
      </c>
      <c r="P90" s="12">
        <f t="shared" si="7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  <ignoredErrors>
    <ignoredError sqref="I5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8E2F-B4FA-8E40-ACD2-53D3498A3973}">
  <dimension ref="A1:R95"/>
  <sheetViews>
    <sheetView topLeftCell="G1" zoomScale="91" zoomScaleNormal="91" workbookViewId="0">
      <selection activeCell="G3" sqref="G3"/>
    </sheetView>
  </sheetViews>
  <sheetFormatPr baseColWidth="10" defaultRowHeight="16" x14ac:dyDescent="0.2"/>
  <cols>
    <col min="1" max="1" width="60.83203125" customWidth="1"/>
    <col min="2" max="2" width="63" customWidth="1"/>
    <col min="3" max="3" width="61.1640625" customWidth="1"/>
    <col min="4" max="4" width="45.6640625" customWidth="1"/>
    <col min="5" max="5" width="68.6640625" customWidth="1"/>
    <col min="6" max="6" width="56.33203125" customWidth="1"/>
    <col min="7" max="7" width="46.33203125" customWidth="1"/>
    <col min="8" max="8" width="57.33203125" customWidth="1"/>
    <col min="9" max="9" width="69" customWidth="1"/>
    <col min="10" max="10" width="54.1640625" customWidth="1"/>
    <col min="11" max="11" width="6" customWidth="1"/>
    <col min="12" max="12" width="6.83203125" customWidth="1"/>
    <col min="13" max="13" width="6.33203125" customWidth="1"/>
    <col min="14" max="14" width="5.83203125" customWidth="1"/>
    <col min="15" max="15" width="43" customWidth="1"/>
    <col min="16" max="16" width="56.33203125" customWidth="1"/>
    <col min="17" max="17" width="60.5" customWidth="1"/>
    <col min="18" max="18" width="70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224</v>
      </c>
      <c r="F1" s="4" t="s">
        <v>225</v>
      </c>
      <c r="G1" s="4" t="s">
        <v>238</v>
      </c>
      <c r="H1" s="4" t="s">
        <v>226</v>
      </c>
      <c r="I1" s="4" t="s">
        <v>227</v>
      </c>
      <c r="J1" s="4" t="s">
        <v>239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G4" s="1">
        <f>4*G3</f>
        <v>0</v>
      </c>
      <c r="J4" s="1">
        <f>4*J3</f>
        <v>0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2*G3</f>
        <v>0</v>
      </c>
      <c r="J5" s="1">
        <f>2*J3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E6" s="1">
        <f>4*E3</f>
        <v>0</v>
      </c>
      <c r="F6" s="1">
        <f>4*F3</f>
        <v>0</v>
      </c>
      <c r="H6" s="1">
        <f t="shared" ref="H6:I6" si="2">4*H3</f>
        <v>0</v>
      </c>
      <c r="I6" s="1">
        <f t="shared" si="2"/>
        <v>0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2*E3</f>
        <v>0</v>
      </c>
      <c r="F7" s="1">
        <f t="shared" ref="F7:I7" si="3">2*F3</f>
        <v>0</v>
      </c>
      <c r="H7" s="1">
        <f t="shared" si="3"/>
        <v>0</v>
      </c>
      <c r="I7" s="1">
        <f t="shared" si="3"/>
        <v>0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14*J3</f>
        <v>0</v>
      </c>
      <c r="O10" s="1">
        <f t="shared" si="1"/>
        <v>0</v>
      </c>
      <c r="P10" s="12">
        <f t="shared" si="0"/>
        <v>0</v>
      </c>
    </row>
    <row r="11" spans="1:18" s="1" customFormat="1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14*H3</f>
        <v>0</v>
      </c>
      <c r="I11" s="1">
        <f>14*I3</f>
        <v>0</v>
      </c>
      <c r="O11" s="1">
        <f t="shared" si="1"/>
        <v>0</v>
      </c>
      <c r="P11" s="12">
        <f t="shared" si="0"/>
        <v>0</v>
      </c>
    </row>
    <row r="12" spans="1:18" s="1" customFormat="1" ht="96" x14ac:dyDescent="0.2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96" x14ac:dyDescent="0.2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96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96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96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96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14*G3</f>
        <v>0</v>
      </c>
      <c r="O18" s="1">
        <f t="shared" si="1"/>
        <v>0</v>
      </c>
      <c r="P18" s="12">
        <f t="shared" si="0"/>
        <v>0</v>
      </c>
    </row>
    <row r="19" spans="1:16" s="1" customFormat="1" ht="96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14*E3</f>
        <v>0</v>
      </c>
      <c r="F20" s="1">
        <f>14*F3</f>
        <v>0</v>
      </c>
      <c r="O20" s="1">
        <f t="shared" si="1"/>
        <v>0</v>
      </c>
      <c r="P20" s="12">
        <f t="shared" si="0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96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96" x14ac:dyDescent="0.2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96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4">D36*O36</f>
        <v>0</v>
      </c>
    </row>
    <row r="37" spans="1:16" s="1" customFormat="1" ht="64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4"/>
        <v>0</v>
      </c>
    </row>
    <row r="38" spans="1:16" s="1" customFormat="1" ht="64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4"/>
        <v>0</v>
      </c>
    </row>
    <row r="39" spans="1:16" s="1" customFormat="1" ht="64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4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4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4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4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4"/>
        <v>0</v>
      </c>
    </row>
    <row r="44" spans="1:16" s="1" customFormat="1" ht="64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24*H3</f>
        <v>0</v>
      </c>
      <c r="I44" s="1">
        <f>24*I3</f>
        <v>0</v>
      </c>
      <c r="J44" s="1">
        <f>24*J3</f>
        <v>0</v>
      </c>
      <c r="O44" s="1">
        <f t="shared" si="1"/>
        <v>0</v>
      </c>
      <c r="P44" s="12">
        <f t="shared" si="4"/>
        <v>0</v>
      </c>
    </row>
    <row r="45" spans="1:16" s="1" customFormat="1" ht="64" x14ac:dyDescent="0.2">
      <c r="A45" s="9" t="s">
        <v>13</v>
      </c>
      <c r="B45" s="9" t="s">
        <v>60</v>
      </c>
      <c r="C45" s="10"/>
      <c r="D45" s="11">
        <v>0.73</v>
      </c>
      <c r="E45" s="1">
        <f>24*E3</f>
        <v>0</v>
      </c>
      <c r="F45" s="1">
        <f>24*F3</f>
        <v>0</v>
      </c>
      <c r="G45" s="1">
        <f>24*G3</f>
        <v>0</v>
      </c>
      <c r="O45" s="1">
        <f t="shared" si="1"/>
        <v>0</v>
      </c>
      <c r="P45" s="12">
        <f t="shared" si="4"/>
        <v>0</v>
      </c>
    </row>
    <row r="46" spans="1:16" s="1" customFormat="1" ht="64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4"/>
        <v>0</v>
      </c>
    </row>
    <row r="47" spans="1:16" s="1" customFormat="1" ht="64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4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4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4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4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4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O52" s="1">
        <f t="shared" si="1"/>
        <v>0</v>
      </c>
      <c r="P52" s="12">
        <f t="shared" si="4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E53" s="1">
        <f>2*E3</f>
        <v>0</v>
      </c>
      <c r="F53" s="1">
        <f>1*F3</f>
        <v>0</v>
      </c>
      <c r="G53" s="1">
        <f>2*G3</f>
        <v>0</v>
      </c>
      <c r="H53" s="1">
        <f>2*H3</f>
        <v>0</v>
      </c>
      <c r="I53" s="1">
        <f>1*I3</f>
        <v>0</v>
      </c>
      <c r="J53" s="1">
        <f>2*J3</f>
        <v>0</v>
      </c>
      <c r="O53" s="1">
        <f t="shared" si="1"/>
        <v>0</v>
      </c>
      <c r="P53" s="12">
        <f t="shared" si="4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4*H3</f>
        <v>0</v>
      </c>
      <c r="I54" s="1">
        <f>2*I3</f>
        <v>0</v>
      </c>
      <c r="J54" s="1">
        <f>4*J3</f>
        <v>0</v>
      </c>
      <c r="O54" s="1">
        <f t="shared" si="1"/>
        <v>0</v>
      </c>
      <c r="P54" s="12">
        <f t="shared" si="4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4*E3</f>
        <v>0</v>
      </c>
      <c r="F55" s="1">
        <f>2*F3</f>
        <v>0</v>
      </c>
      <c r="G55" s="1">
        <f>4*G3</f>
        <v>0</v>
      </c>
      <c r="O55" s="1">
        <f t="shared" si="1"/>
        <v>0</v>
      </c>
      <c r="P55" s="12">
        <f t="shared" si="4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4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>4*E3</f>
        <v>0</v>
      </c>
      <c r="F57" s="1">
        <f>2*F3</f>
        <v>0</v>
      </c>
      <c r="G57" s="1">
        <f>4*G3</f>
        <v>0</v>
      </c>
      <c r="H57" s="1">
        <f>4*H3</f>
        <v>0</v>
      </c>
      <c r="I57" s="1">
        <f>2*I3</f>
        <v>0</v>
      </c>
      <c r="J57" s="1">
        <f>4*J3</f>
        <v>0</v>
      </c>
      <c r="O57" s="1">
        <f t="shared" si="1"/>
        <v>0</v>
      </c>
      <c r="P57" s="12">
        <f t="shared" si="4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>4*E3</f>
        <v>0</v>
      </c>
      <c r="F58" s="1">
        <f>2*F3</f>
        <v>0</v>
      </c>
      <c r="G58" s="1">
        <f>4*G3</f>
        <v>0</v>
      </c>
      <c r="H58" s="1">
        <f>4*H3</f>
        <v>0</v>
      </c>
      <c r="I58" s="1">
        <f>2*I3</f>
        <v>0</v>
      </c>
      <c r="J58" s="1">
        <f>4*J3</f>
        <v>0</v>
      </c>
      <c r="O58" s="1">
        <f t="shared" si="1"/>
        <v>0</v>
      </c>
      <c r="P58" s="12">
        <f t="shared" si="4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4*E3</f>
        <v>0</v>
      </c>
      <c r="F59" s="1">
        <f>2*F3</f>
        <v>0</v>
      </c>
      <c r="G59" s="1">
        <f>4*G3</f>
        <v>0</v>
      </c>
      <c r="H59" s="1">
        <f>4*H3</f>
        <v>0</v>
      </c>
      <c r="I59" s="1">
        <f>2*I3</f>
        <v>0</v>
      </c>
      <c r="J59" s="1">
        <f>4*J3</f>
        <v>0</v>
      </c>
      <c r="O59" s="1">
        <f t="shared" si="1"/>
        <v>0</v>
      </c>
      <c r="P59" s="12">
        <f t="shared" si="4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>4*E3</f>
        <v>0</v>
      </c>
      <c r="F60" s="1">
        <f>2*F3</f>
        <v>0</v>
      </c>
      <c r="G60" s="1">
        <f>4*G3</f>
        <v>0</v>
      </c>
      <c r="H60" s="1">
        <f>4*H3</f>
        <v>0</v>
      </c>
      <c r="I60" s="1">
        <f>2*I3</f>
        <v>0</v>
      </c>
      <c r="J60" s="1">
        <f>4*J3</f>
        <v>0</v>
      </c>
      <c r="O60" s="1">
        <f t="shared" si="1"/>
        <v>0</v>
      </c>
      <c r="P60" s="12">
        <f t="shared" si="4"/>
        <v>0</v>
      </c>
    </row>
    <row r="61" spans="1:16" s="1" customFormat="1" ht="64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4"/>
        <v>0</v>
      </c>
    </row>
    <row r="62" spans="1:16" s="1" customFormat="1" ht="160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4"/>
        <v>0</v>
      </c>
    </row>
    <row r="63" spans="1:16" s="1" customFormat="1" ht="160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4"/>
        <v>0</v>
      </c>
    </row>
    <row r="64" spans="1:16" s="1" customFormat="1" ht="64" x14ac:dyDescent="0.2">
      <c r="A64" s="14" t="s">
        <v>29</v>
      </c>
      <c r="B64" s="14" t="s">
        <v>75</v>
      </c>
      <c r="C64" s="10"/>
      <c r="D64" s="11">
        <v>1.1399999999999999</v>
      </c>
      <c r="E64" s="1">
        <f>4*E3</f>
        <v>0</v>
      </c>
      <c r="F64" s="1">
        <f>2*F3</f>
        <v>0</v>
      </c>
      <c r="G64" s="1">
        <f>4*G3</f>
        <v>0</v>
      </c>
      <c r="H64" s="1">
        <f>4*H3</f>
        <v>0</v>
      </c>
      <c r="I64" s="1">
        <f>2*I3</f>
        <v>0</v>
      </c>
      <c r="J64" s="1">
        <f>4*J3</f>
        <v>0</v>
      </c>
      <c r="O64" s="1">
        <f t="shared" si="1"/>
        <v>0</v>
      </c>
      <c r="P64" s="12">
        <f t="shared" si="4"/>
        <v>0</v>
      </c>
    </row>
    <row r="65" spans="1:16" s="1" customFormat="1" ht="32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4"/>
        <v>0</v>
      </c>
    </row>
    <row r="66" spans="1:16" s="1" customFormat="1" ht="64" x14ac:dyDescent="0.2">
      <c r="A66" s="14" t="s">
        <v>31</v>
      </c>
      <c r="B66" s="14" t="s">
        <v>257</v>
      </c>
      <c r="C66" s="10"/>
      <c r="D66" s="11">
        <v>2.15</v>
      </c>
      <c r="O66" s="1">
        <f t="shared" si="1"/>
        <v>0</v>
      </c>
      <c r="P66" s="12">
        <f t="shared" si="4"/>
        <v>0</v>
      </c>
    </row>
    <row r="67" spans="1:16" s="1" customFormat="1" ht="64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4"/>
        <v>0</v>
      </c>
    </row>
    <row r="68" spans="1:16" s="1" customFormat="1" ht="64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5">D68*O68</f>
        <v>0</v>
      </c>
    </row>
    <row r="69" spans="1:16" s="1" customFormat="1" ht="64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0" si="6">SUM(E69:J69)</f>
        <v>0</v>
      </c>
      <c r="P69" s="12">
        <f t="shared" si="5"/>
        <v>0</v>
      </c>
    </row>
    <row r="70" spans="1:16" s="1" customFormat="1" ht="64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6"/>
        <v>0</v>
      </c>
      <c r="P70" s="12">
        <f t="shared" si="5"/>
        <v>0</v>
      </c>
    </row>
    <row r="71" spans="1:16" s="1" customFormat="1" ht="64" x14ac:dyDescent="0.2">
      <c r="A71" s="14" t="s">
        <v>178</v>
      </c>
      <c r="B71" s="14" t="s">
        <v>194</v>
      </c>
      <c r="C71" s="10"/>
      <c r="D71" s="11">
        <v>5.5579999999999998</v>
      </c>
      <c r="O71" s="1">
        <f t="shared" si="6"/>
        <v>0</v>
      </c>
      <c r="P71" s="12">
        <f t="shared" si="5"/>
        <v>0</v>
      </c>
    </row>
    <row r="72" spans="1:16" s="1" customFormat="1" ht="64" x14ac:dyDescent="0.2">
      <c r="A72" s="14" t="s">
        <v>179</v>
      </c>
      <c r="B72" s="14" t="s">
        <v>195</v>
      </c>
      <c r="C72" s="10"/>
      <c r="D72" s="11">
        <v>5.5579999999999998</v>
      </c>
      <c r="O72" s="1">
        <f t="shared" si="6"/>
        <v>0</v>
      </c>
      <c r="P72" s="12">
        <f t="shared" si="5"/>
        <v>0</v>
      </c>
    </row>
    <row r="73" spans="1:16" s="1" customFormat="1" ht="64" x14ac:dyDescent="0.2">
      <c r="A73" s="14" t="s">
        <v>34</v>
      </c>
      <c r="B73" s="14" t="s">
        <v>79</v>
      </c>
      <c r="C73" s="10"/>
      <c r="D73" s="11">
        <v>3.3879999999999999</v>
      </c>
      <c r="E73" s="1">
        <f>1*E3</f>
        <v>0</v>
      </c>
      <c r="G73" s="1">
        <f>1*G3</f>
        <v>0</v>
      </c>
      <c r="H73" s="1">
        <f>1*H3</f>
        <v>0</v>
      </c>
      <c r="J73" s="1">
        <f>1*J3</f>
        <v>0</v>
      </c>
      <c r="O73" s="1">
        <f t="shared" si="6"/>
        <v>0</v>
      </c>
      <c r="P73" s="12">
        <f t="shared" si="5"/>
        <v>0</v>
      </c>
    </row>
    <row r="74" spans="1:16" s="1" customFormat="1" ht="64" x14ac:dyDescent="0.2">
      <c r="A74" s="14" t="s">
        <v>35</v>
      </c>
      <c r="B74" s="14" t="s">
        <v>80</v>
      </c>
      <c r="C74" s="10"/>
      <c r="D74" s="11">
        <v>3.3879999999999999</v>
      </c>
      <c r="E74" s="1">
        <f>1*E3</f>
        <v>0</v>
      </c>
      <c r="G74" s="1">
        <f>1*G3</f>
        <v>0</v>
      </c>
      <c r="H74" s="1">
        <f>1*H3</f>
        <v>0</v>
      </c>
      <c r="J74" s="1">
        <f>1*J3</f>
        <v>0</v>
      </c>
      <c r="O74" s="1">
        <f t="shared" si="6"/>
        <v>0</v>
      </c>
      <c r="P74" s="12">
        <f t="shared" si="5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6"/>
        <v>0</v>
      </c>
      <c r="P75" s="12">
        <f t="shared" si="5"/>
        <v>0</v>
      </c>
    </row>
    <row r="76" spans="1:16" s="1" customFormat="1" ht="64" x14ac:dyDescent="0.2">
      <c r="A76" s="14" t="s">
        <v>37</v>
      </c>
      <c r="B76" s="14" t="s">
        <v>82</v>
      </c>
      <c r="C76" s="10"/>
      <c r="D76" s="11">
        <v>2.702</v>
      </c>
      <c r="O76" s="1">
        <f t="shared" si="6"/>
        <v>0</v>
      </c>
      <c r="P76" s="12">
        <f t="shared" si="5"/>
        <v>0</v>
      </c>
    </row>
    <row r="77" spans="1:16" s="1" customFormat="1" ht="64" x14ac:dyDescent="0.2">
      <c r="A77" s="14" t="s">
        <v>38</v>
      </c>
      <c r="B77" s="14" t="s">
        <v>83</v>
      </c>
      <c r="C77" s="10"/>
      <c r="D77" s="11">
        <v>0.68599999999999994</v>
      </c>
      <c r="H77" s="1">
        <f>2*H3</f>
        <v>0</v>
      </c>
      <c r="J77" s="1">
        <f t="shared" ref="J77" si="7">2*J3</f>
        <v>0</v>
      </c>
      <c r="O77" s="1">
        <f t="shared" si="6"/>
        <v>0</v>
      </c>
      <c r="P77" s="12">
        <f t="shared" si="5"/>
        <v>0</v>
      </c>
    </row>
    <row r="78" spans="1:16" s="1" customFormat="1" ht="64" x14ac:dyDescent="0.2">
      <c r="A78" s="14" t="s">
        <v>39</v>
      </c>
      <c r="B78" s="14" t="s">
        <v>84</v>
      </c>
      <c r="C78" s="10"/>
      <c r="D78" s="11">
        <v>0.68599999999999994</v>
      </c>
      <c r="H78" s="1">
        <f>2*H3</f>
        <v>0</v>
      </c>
      <c r="J78" s="1">
        <f t="shared" ref="J78" si="8">2*J3</f>
        <v>0</v>
      </c>
      <c r="O78" s="1">
        <f t="shared" si="6"/>
        <v>0</v>
      </c>
      <c r="P78" s="12">
        <f t="shared" si="5"/>
        <v>0</v>
      </c>
    </row>
    <row r="79" spans="1:16" s="1" customFormat="1" ht="64" x14ac:dyDescent="0.2">
      <c r="A79" s="14" t="s">
        <v>40</v>
      </c>
      <c r="B79" s="14" t="s">
        <v>85</v>
      </c>
      <c r="C79" s="10"/>
      <c r="D79" s="11">
        <v>0.98</v>
      </c>
      <c r="E79" s="1">
        <f>2*E3</f>
        <v>0</v>
      </c>
      <c r="G79" s="1">
        <f t="shared" ref="G79" si="9">2*G3</f>
        <v>0</v>
      </c>
      <c r="O79" s="1">
        <f t="shared" si="6"/>
        <v>0</v>
      </c>
      <c r="P79" s="12">
        <f t="shared" si="5"/>
        <v>0</v>
      </c>
    </row>
    <row r="80" spans="1:16" s="1" customFormat="1" ht="64" x14ac:dyDescent="0.2">
      <c r="A80" s="14" t="s">
        <v>41</v>
      </c>
      <c r="B80" s="15" t="s">
        <v>254</v>
      </c>
      <c r="C80" s="16"/>
      <c r="D80" s="11">
        <v>0.98</v>
      </c>
      <c r="E80" s="1">
        <f>2*E3</f>
        <v>0</v>
      </c>
      <c r="G80" s="1">
        <f t="shared" ref="G80" si="10">2*G3</f>
        <v>0</v>
      </c>
      <c r="O80" s="1">
        <f t="shared" si="6"/>
        <v>0</v>
      </c>
      <c r="P80" s="12">
        <f t="shared" si="5"/>
        <v>0</v>
      </c>
    </row>
    <row r="81" spans="1:16" s="1" customFormat="1" ht="64" x14ac:dyDescent="0.2">
      <c r="A81" s="14" t="s">
        <v>136</v>
      </c>
      <c r="B81" s="14" t="s">
        <v>132</v>
      </c>
      <c r="C81" s="10"/>
      <c r="D81" s="11">
        <v>0.98</v>
      </c>
      <c r="O81" s="1">
        <f t="shared" si="6"/>
        <v>0</v>
      </c>
      <c r="P81" s="12">
        <f t="shared" si="5"/>
        <v>0</v>
      </c>
    </row>
    <row r="82" spans="1:16" s="1" customFormat="1" ht="64" x14ac:dyDescent="0.2">
      <c r="A82" s="14" t="s">
        <v>137</v>
      </c>
      <c r="B82" s="15" t="s">
        <v>255</v>
      </c>
      <c r="C82" s="16"/>
      <c r="D82" s="11">
        <v>0.98</v>
      </c>
      <c r="O82" s="1">
        <f t="shared" si="6"/>
        <v>0</v>
      </c>
      <c r="P82" s="12">
        <f t="shared" si="5"/>
        <v>0</v>
      </c>
    </row>
    <row r="83" spans="1:16" s="1" customFormat="1" ht="128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6"/>
        <v>0</v>
      </c>
      <c r="P83" s="12">
        <f t="shared" si="5"/>
        <v>0</v>
      </c>
    </row>
    <row r="84" spans="1:16" s="1" customFormat="1" ht="256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6"/>
        <v>0</v>
      </c>
      <c r="P84" s="12">
        <f t="shared" si="5"/>
        <v>0</v>
      </c>
    </row>
    <row r="85" spans="1:16" s="1" customFormat="1" ht="256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6"/>
        <v>0</v>
      </c>
      <c r="P85" s="12">
        <f t="shared" si="5"/>
        <v>0</v>
      </c>
    </row>
    <row r="86" spans="1:16" s="1" customFormat="1" ht="256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6"/>
        <v>0</v>
      </c>
      <c r="P86" s="12">
        <f t="shared" si="5"/>
        <v>0</v>
      </c>
    </row>
    <row r="87" spans="1:16" s="1" customFormat="1" ht="128" x14ac:dyDescent="0.2">
      <c r="A87" s="14" t="s">
        <v>180</v>
      </c>
      <c r="B87" s="10" t="s">
        <v>181</v>
      </c>
      <c r="C87" s="10"/>
      <c r="D87" s="11">
        <v>0.75</v>
      </c>
      <c r="O87" s="1">
        <f t="shared" si="6"/>
        <v>0</v>
      </c>
      <c r="P87" s="12">
        <f t="shared" si="5"/>
        <v>0</v>
      </c>
    </row>
    <row r="88" spans="1:16" s="1" customFormat="1" ht="128" x14ac:dyDescent="0.2">
      <c r="A88" s="14" t="s">
        <v>182</v>
      </c>
      <c r="B88" s="10" t="s">
        <v>183</v>
      </c>
      <c r="C88" s="10"/>
      <c r="D88" s="11">
        <v>0.75</v>
      </c>
      <c r="O88" s="1">
        <f t="shared" si="6"/>
        <v>0</v>
      </c>
      <c r="P88" s="12">
        <f t="shared" si="5"/>
        <v>0</v>
      </c>
    </row>
    <row r="89" spans="1:16" s="1" customFormat="1" ht="128" x14ac:dyDescent="0.2">
      <c r="A89" s="14" t="s">
        <v>184</v>
      </c>
      <c r="B89" s="10" t="s">
        <v>185</v>
      </c>
      <c r="C89" s="10"/>
      <c r="D89" s="11">
        <v>0.75</v>
      </c>
      <c r="O89" s="1">
        <f t="shared" si="6"/>
        <v>0</v>
      </c>
      <c r="P89" s="12">
        <f t="shared" si="5"/>
        <v>0</v>
      </c>
    </row>
    <row r="90" spans="1:16" s="1" customFormat="1" ht="96" x14ac:dyDescent="0.2">
      <c r="A90" s="14" t="s">
        <v>186</v>
      </c>
      <c r="B90" s="14" t="s">
        <v>256</v>
      </c>
      <c r="C90" s="10"/>
      <c r="D90" s="11">
        <v>0.75</v>
      </c>
      <c r="O90" s="1">
        <f t="shared" si="6"/>
        <v>0</v>
      </c>
      <c r="P90" s="12">
        <f t="shared" si="5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  <row r="93" spans="1:16" s="1" customFormat="1" ht="31" x14ac:dyDescent="0.2">
      <c r="G93"/>
      <c r="J93"/>
      <c r="K93"/>
      <c r="L93"/>
      <c r="M93"/>
      <c r="N93"/>
    </row>
    <row r="94" spans="1:16" s="1" customFormat="1" ht="31" x14ac:dyDescent="0.2">
      <c r="G94"/>
      <c r="J94"/>
      <c r="K94"/>
      <c r="L94"/>
      <c r="M94"/>
      <c r="N94"/>
    </row>
    <row r="95" spans="1:16" s="1" customFormat="1" ht="31" x14ac:dyDescent="0.2">
      <c r="G95"/>
      <c r="J95"/>
      <c r="K95"/>
      <c r="L95"/>
      <c r="M95"/>
      <c r="N9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CE0D-75B3-4149-9412-44D923DC89C1}">
  <dimension ref="A1:R92"/>
  <sheetViews>
    <sheetView topLeftCell="G1" zoomScale="119" workbookViewId="0">
      <selection activeCell="K3" sqref="K3"/>
    </sheetView>
  </sheetViews>
  <sheetFormatPr baseColWidth="10" defaultRowHeight="16" x14ac:dyDescent="0.2"/>
  <cols>
    <col min="1" max="1" width="35.33203125" customWidth="1"/>
    <col min="2" max="2" width="58.33203125" customWidth="1"/>
    <col min="3" max="3" width="39.33203125" customWidth="1"/>
    <col min="4" max="4" width="60.5" customWidth="1"/>
    <col min="5" max="5" width="48" customWidth="1"/>
    <col min="6" max="6" width="73.83203125" customWidth="1"/>
    <col min="7" max="7" width="46.33203125" customWidth="1"/>
    <col min="8" max="8" width="71.5" customWidth="1"/>
    <col min="9" max="9" width="63.5" customWidth="1"/>
    <col min="10" max="10" width="54.1640625" customWidth="1"/>
    <col min="11" max="11" width="7.33203125" customWidth="1"/>
    <col min="12" max="12" width="4.1640625" customWidth="1"/>
    <col min="13" max="13" width="5.33203125" customWidth="1"/>
    <col min="14" max="14" width="6.33203125" customWidth="1"/>
    <col min="15" max="15" width="34.83203125" customWidth="1"/>
    <col min="16" max="16" width="26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228</v>
      </c>
      <c r="F1" s="4" t="s">
        <v>229</v>
      </c>
      <c r="G1" s="4" t="s">
        <v>240</v>
      </c>
      <c r="H1" s="4" t="s">
        <v>230</v>
      </c>
      <c r="I1" s="4" t="s">
        <v>231</v>
      </c>
      <c r="J1" s="4" t="s">
        <v>241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93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6*G3</f>
        <v>0</v>
      </c>
      <c r="J5" s="1">
        <f>6*J3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6*E3</f>
        <v>0</v>
      </c>
      <c r="F7" s="1">
        <f t="shared" ref="F7:I7" si="2">6*F3</f>
        <v>0</v>
      </c>
      <c r="H7" s="1">
        <f t="shared" si="2"/>
        <v>0</v>
      </c>
      <c r="I7" s="1">
        <f t="shared" si="2"/>
        <v>0</v>
      </c>
      <c r="O7" s="1">
        <f t="shared" si="1"/>
        <v>0</v>
      </c>
      <c r="P7" s="12">
        <f t="shared" si="0"/>
        <v>0</v>
      </c>
    </row>
    <row r="8" spans="1:18" s="1" customFormat="1" ht="96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96" x14ac:dyDescent="0.2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128" x14ac:dyDescent="0.2">
      <c r="A10" s="9" t="s">
        <v>2</v>
      </c>
      <c r="B10" s="9" t="s">
        <v>48</v>
      </c>
      <c r="C10" s="10" t="s">
        <v>90</v>
      </c>
      <c r="D10" s="11">
        <v>2.4472</v>
      </c>
      <c r="J10" s="1">
        <f>16*J3</f>
        <v>0</v>
      </c>
      <c r="O10" s="1">
        <f t="shared" si="1"/>
        <v>0</v>
      </c>
      <c r="P10" s="12">
        <f t="shared" si="0"/>
        <v>0</v>
      </c>
    </row>
    <row r="11" spans="1:18" s="1" customFormat="1" ht="128" x14ac:dyDescent="0.2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16*H3</f>
        <v>0</v>
      </c>
      <c r="I11" s="1">
        <f>16*I3</f>
        <v>0</v>
      </c>
      <c r="O11" s="1">
        <f t="shared" si="1"/>
        <v>0</v>
      </c>
      <c r="P11" s="12">
        <f t="shared" si="0"/>
        <v>0</v>
      </c>
    </row>
    <row r="12" spans="1:18" s="1" customFormat="1" ht="160" x14ac:dyDescent="0.2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160" x14ac:dyDescent="0.2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160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160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160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160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160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16*G3</f>
        <v>0</v>
      </c>
      <c r="O18" s="1">
        <f t="shared" si="1"/>
        <v>0</v>
      </c>
      <c r="P18" s="12">
        <f t="shared" si="0"/>
        <v>0</v>
      </c>
    </row>
    <row r="19" spans="1:16" s="1" customFormat="1" ht="160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160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16*E3</f>
        <v>0</v>
      </c>
      <c r="F20" s="1">
        <f>16*F3</f>
        <v>0</v>
      </c>
      <c r="O20" s="1">
        <f t="shared" si="1"/>
        <v>0</v>
      </c>
      <c r="P20" s="12">
        <f t="shared" si="0"/>
        <v>0</v>
      </c>
    </row>
    <row r="21" spans="1:16" s="1" customFormat="1" ht="192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92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92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96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128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128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128" x14ac:dyDescent="0.2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128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128" x14ac:dyDescent="0.2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128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3">D36*O36</f>
        <v>0</v>
      </c>
    </row>
    <row r="37" spans="1:16" s="1" customFormat="1" ht="96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3"/>
        <v>0</v>
      </c>
    </row>
    <row r="38" spans="1:16" s="1" customFormat="1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3"/>
        <v>0</v>
      </c>
    </row>
    <row r="39" spans="1:16" s="1" customFormat="1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3"/>
        <v>0</v>
      </c>
    </row>
    <row r="40" spans="1:16" s="1" customFormat="1" ht="96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3"/>
        <v>0</v>
      </c>
    </row>
    <row r="41" spans="1:16" s="1" customFormat="1" ht="128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3"/>
        <v>0</v>
      </c>
    </row>
    <row r="42" spans="1:16" s="1" customFormat="1" ht="96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3"/>
        <v>0</v>
      </c>
    </row>
    <row r="43" spans="1:16" s="1" customFormat="1" ht="96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3"/>
        <v>0</v>
      </c>
    </row>
    <row r="44" spans="1:16" s="1" customFormat="1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28*H3</f>
        <v>0</v>
      </c>
      <c r="I44" s="1">
        <f>28*I3</f>
        <v>0</v>
      </c>
      <c r="J44" s="1">
        <f>28*J3</f>
        <v>0</v>
      </c>
      <c r="O44" s="1">
        <f t="shared" si="1"/>
        <v>0</v>
      </c>
      <c r="P44" s="12">
        <f t="shared" si="3"/>
        <v>0</v>
      </c>
    </row>
    <row r="45" spans="1:16" s="1" customFormat="1" ht="96" x14ac:dyDescent="0.2">
      <c r="A45" s="9" t="s">
        <v>13</v>
      </c>
      <c r="B45" s="9" t="s">
        <v>60</v>
      </c>
      <c r="C45" s="10"/>
      <c r="D45" s="11">
        <v>0.73</v>
      </c>
      <c r="E45" s="1">
        <f>28*E3</f>
        <v>0</v>
      </c>
      <c r="F45" s="1">
        <f>28*F3</f>
        <v>0</v>
      </c>
      <c r="G45" s="1">
        <f>28*G3</f>
        <v>0</v>
      </c>
      <c r="O45" s="1">
        <f t="shared" si="1"/>
        <v>0</v>
      </c>
      <c r="P45" s="12">
        <f t="shared" si="3"/>
        <v>0</v>
      </c>
    </row>
    <row r="46" spans="1:16" s="1" customFormat="1" ht="96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3"/>
        <v>0</v>
      </c>
    </row>
    <row r="47" spans="1:16" s="1" customFormat="1" ht="96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3"/>
        <v>0</v>
      </c>
    </row>
    <row r="48" spans="1:16" s="1" customFormat="1" ht="96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3"/>
        <v>0</v>
      </c>
    </row>
    <row r="49" spans="1:16" s="1" customFormat="1" ht="96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3"/>
        <v>0</v>
      </c>
    </row>
    <row r="50" spans="1:16" s="1" customFormat="1" ht="64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3"/>
        <v>0</v>
      </c>
    </row>
    <row r="51" spans="1:16" s="1" customFormat="1" ht="64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3"/>
        <v>0</v>
      </c>
    </row>
    <row r="52" spans="1:16" s="1" customFormat="1" ht="64" x14ac:dyDescent="0.2">
      <c r="A52" s="14" t="s">
        <v>175</v>
      </c>
      <c r="B52" s="48" t="s">
        <v>191</v>
      </c>
      <c r="C52" s="10"/>
      <c r="D52" s="11">
        <v>6.78</v>
      </c>
      <c r="E52" s="1">
        <f>2*E3</f>
        <v>0</v>
      </c>
      <c r="F52" s="1">
        <f>1*F3</f>
        <v>0</v>
      </c>
      <c r="G52" s="1">
        <f>2*G3</f>
        <v>0</v>
      </c>
      <c r="H52" s="1">
        <f>2*H3</f>
        <v>0</v>
      </c>
      <c r="I52" s="1">
        <f>1*I3</f>
        <v>0</v>
      </c>
      <c r="J52" s="1">
        <f>2*J3</f>
        <v>0</v>
      </c>
      <c r="O52" s="1">
        <f t="shared" si="1"/>
        <v>0</v>
      </c>
      <c r="P52" s="12">
        <f t="shared" si="3"/>
        <v>0</v>
      </c>
    </row>
    <row r="53" spans="1:16" s="1" customFormat="1" ht="64" x14ac:dyDescent="0.2">
      <c r="A53" s="14" t="s">
        <v>18</v>
      </c>
      <c r="B53" s="14" t="s">
        <v>65</v>
      </c>
      <c r="C53" s="10"/>
      <c r="D53" s="11">
        <v>6.78</v>
      </c>
      <c r="O53" s="1">
        <f t="shared" si="1"/>
        <v>0</v>
      </c>
      <c r="P53" s="12">
        <f t="shared" si="3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4*H3</f>
        <v>0</v>
      </c>
      <c r="I54" s="1">
        <f>2*I3</f>
        <v>0</v>
      </c>
      <c r="J54" s="1">
        <f>4*J3</f>
        <v>0</v>
      </c>
      <c r="O54" s="1">
        <f t="shared" si="1"/>
        <v>0</v>
      </c>
      <c r="P54" s="12">
        <f t="shared" si="3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4*E3</f>
        <v>0</v>
      </c>
      <c r="F55" s="1">
        <f>2*F3</f>
        <v>0</v>
      </c>
      <c r="G55" s="1">
        <f>4*G3</f>
        <v>0</v>
      </c>
      <c r="O55" s="1">
        <f t="shared" si="1"/>
        <v>0</v>
      </c>
      <c r="P55" s="12">
        <f t="shared" si="3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3"/>
        <v>0</v>
      </c>
    </row>
    <row r="57" spans="1:16" s="1" customFormat="1" ht="96" x14ac:dyDescent="0.2">
      <c r="A57" s="14" t="s">
        <v>22</v>
      </c>
      <c r="B57" s="14" t="s">
        <v>70</v>
      </c>
      <c r="C57" s="10"/>
      <c r="D57" s="11">
        <v>0.15512465373961221</v>
      </c>
      <c r="E57" s="1">
        <f>4*E3</f>
        <v>0</v>
      </c>
      <c r="F57" s="1">
        <f>2*F3</f>
        <v>0</v>
      </c>
      <c r="G57" s="1">
        <f>4*G3</f>
        <v>0</v>
      </c>
      <c r="H57" s="1">
        <f>4*H3</f>
        <v>0</v>
      </c>
      <c r="I57" s="1">
        <f>2*I3</f>
        <v>0</v>
      </c>
      <c r="J57" s="1">
        <f>4*J3</f>
        <v>0</v>
      </c>
      <c r="O57" s="1">
        <f t="shared" si="1"/>
        <v>0</v>
      </c>
      <c r="P57" s="12">
        <f t="shared" si="3"/>
        <v>0</v>
      </c>
    </row>
    <row r="58" spans="1:16" s="1" customFormat="1" ht="96" x14ac:dyDescent="0.2">
      <c r="A58" s="14" t="s">
        <v>23</v>
      </c>
      <c r="B58" s="14" t="s">
        <v>69</v>
      </c>
      <c r="C58" s="10"/>
      <c r="D58" s="11">
        <v>0.27922437673130196</v>
      </c>
      <c r="E58" s="1">
        <f>4*E3</f>
        <v>0</v>
      </c>
      <c r="F58" s="1">
        <f>2*F3</f>
        <v>0</v>
      </c>
      <c r="G58" s="1">
        <f>4*G3</f>
        <v>0</v>
      </c>
      <c r="H58" s="1">
        <f>4*H3</f>
        <v>0</v>
      </c>
      <c r="I58" s="1">
        <f>2*I3</f>
        <v>0</v>
      </c>
      <c r="J58" s="1">
        <f>4*J3</f>
        <v>0</v>
      </c>
      <c r="O58" s="1">
        <f t="shared" si="1"/>
        <v>0</v>
      </c>
      <c r="P58" s="12">
        <f t="shared" si="3"/>
        <v>0</v>
      </c>
    </row>
    <row r="59" spans="1:16" s="1" customFormat="1" ht="96" x14ac:dyDescent="0.2">
      <c r="A59" s="14" t="s">
        <v>24</v>
      </c>
      <c r="B59" s="14" t="s">
        <v>68</v>
      </c>
      <c r="C59" s="10"/>
      <c r="D59" s="11">
        <v>0.12409972299168978</v>
      </c>
      <c r="E59" s="1">
        <f>4*E3</f>
        <v>0</v>
      </c>
      <c r="F59" s="1">
        <f>2*F3</f>
        <v>0</v>
      </c>
      <c r="G59" s="1">
        <f>4*G3</f>
        <v>0</v>
      </c>
      <c r="H59" s="1">
        <f>4*H3</f>
        <v>0</v>
      </c>
      <c r="I59" s="1">
        <f>2*I3</f>
        <v>0</v>
      </c>
      <c r="J59" s="1">
        <f>4*J3</f>
        <v>0</v>
      </c>
      <c r="O59" s="1">
        <f t="shared" si="1"/>
        <v>0</v>
      </c>
      <c r="P59" s="12">
        <f t="shared" si="3"/>
        <v>0</v>
      </c>
    </row>
    <row r="60" spans="1:16" s="1" customFormat="1" ht="96" x14ac:dyDescent="0.2">
      <c r="A60" s="14" t="s">
        <v>25</v>
      </c>
      <c r="B60" s="14" t="s">
        <v>71</v>
      </c>
      <c r="C60" s="10"/>
      <c r="D60" s="11">
        <v>3.1024930747922445E-2</v>
      </c>
      <c r="E60" s="1">
        <f>4*E3</f>
        <v>0</v>
      </c>
      <c r="F60" s="1">
        <f>2*F3</f>
        <v>0</v>
      </c>
      <c r="G60" s="1">
        <f>4*G3</f>
        <v>0</v>
      </c>
      <c r="H60" s="1">
        <f>4*H3</f>
        <v>0</v>
      </c>
      <c r="I60" s="1">
        <f>2*I3</f>
        <v>0</v>
      </c>
      <c r="J60" s="1">
        <f>4*J3</f>
        <v>0</v>
      </c>
      <c r="O60" s="1">
        <f t="shared" si="1"/>
        <v>0</v>
      </c>
      <c r="P60" s="12">
        <f t="shared" si="3"/>
        <v>0</v>
      </c>
    </row>
    <row r="61" spans="1:16" s="1" customFormat="1" ht="96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3"/>
        <v>0</v>
      </c>
    </row>
    <row r="62" spans="1:16" s="1" customFormat="1" ht="224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3"/>
        <v>0</v>
      </c>
    </row>
    <row r="63" spans="1:16" s="1" customFormat="1" ht="224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3"/>
        <v>0</v>
      </c>
    </row>
    <row r="64" spans="1:16" s="1" customFormat="1" ht="96" x14ac:dyDescent="0.2">
      <c r="A64" s="14" t="s">
        <v>29</v>
      </c>
      <c r="B64" s="14" t="s">
        <v>75</v>
      </c>
      <c r="C64" s="10"/>
      <c r="D64" s="11">
        <v>1.1399999999999999</v>
      </c>
      <c r="E64" s="1">
        <f>4*E3</f>
        <v>0</v>
      </c>
      <c r="F64" s="1">
        <f>2*F3</f>
        <v>0</v>
      </c>
      <c r="G64" s="1">
        <f>4*G3</f>
        <v>0</v>
      </c>
      <c r="H64" s="1">
        <f>4*H3</f>
        <v>0</v>
      </c>
      <c r="I64" s="1">
        <f>2*I3</f>
        <v>0</v>
      </c>
      <c r="J64" s="1">
        <f>4*J3</f>
        <v>0</v>
      </c>
      <c r="O64" s="1">
        <f t="shared" si="1"/>
        <v>0</v>
      </c>
      <c r="P64" s="12">
        <f t="shared" si="3"/>
        <v>0</v>
      </c>
    </row>
    <row r="65" spans="1:16" s="1" customFormat="1" ht="64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3"/>
        <v>0</v>
      </c>
    </row>
    <row r="66" spans="1:16" s="1" customFormat="1" ht="96" x14ac:dyDescent="0.2">
      <c r="A66" s="14" t="s">
        <v>31</v>
      </c>
      <c r="B66" s="14" t="s">
        <v>257</v>
      </c>
      <c r="C66" s="10"/>
      <c r="D66" s="11">
        <v>2.15</v>
      </c>
      <c r="O66" s="1">
        <f t="shared" si="1"/>
        <v>0</v>
      </c>
      <c r="P66" s="12">
        <f t="shared" si="3"/>
        <v>0</v>
      </c>
    </row>
    <row r="67" spans="1:16" s="1" customFormat="1" ht="96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3"/>
        <v>0</v>
      </c>
    </row>
    <row r="68" spans="1:16" s="1" customFormat="1" ht="96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4">D68*O68</f>
        <v>0</v>
      </c>
    </row>
    <row r="69" spans="1:16" s="1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1" si="5">SUM(E69:J69)</f>
        <v>0</v>
      </c>
      <c r="P69" s="12">
        <f t="shared" si="4"/>
        <v>0</v>
      </c>
    </row>
    <row r="70" spans="1:16" s="1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5"/>
        <v>0</v>
      </c>
      <c r="P70" s="12">
        <f t="shared" si="4"/>
        <v>0</v>
      </c>
    </row>
    <row r="71" spans="1:16" s="1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E71" s="1">
        <f>1*E3</f>
        <v>0</v>
      </c>
      <c r="G71" s="1">
        <f>1*G3</f>
        <v>0</v>
      </c>
      <c r="H71" s="1">
        <f>1*H3</f>
        <v>0</v>
      </c>
      <c r="J71" s="1">
        <f>1*J3</f>
        <v>0</v>
      </c>
      <c r="O71" s="1">
        <f t="shared" si="5"/>
        <v>0</v>
      </c>
      <c r="P71" s="12">
        <f t="shared" si="4"/>
        <v>0</v>
      </c>
    </row>
    <row r="72" spans="1:16" s="1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E72" s="1">
        <f>1*E3</f>
        <v>0</v>
      </c>
      <c r="G72" s="1">
        <f>1*G3</f>
        <v>0</v>
      </c>
      <c r="H72" s="1">
        <f>1*H3</f>
        <v>0</v>
      </c>
      <c r="J72" s="1">
        <f>1*J3</f>
        <v>0</v>
      </c>
      <c r="O72" s="1">
        <f t="shared" si="5"/>
        <v>0</v>
      </c>
      <c r="P72" s="12">
        <f t="shared" si="4"/>
        <v>0</v>
      </c>
    </row>
    <row r="73" spans="1:16" s="1" customFormat="1" ht="96" x14ac:dyDescent="0.2">
      <c r="A73" s="14" t="s">
        <v>34</v>
      </c>
      <c r="B73" s="14" t="s">
        <v>79</v>
      </c>
      <c r="C73" s="10"/>
      <c r="D73" s="11">
        <v>3.3879999999999999</v>
      </c>
      <c r="O73" s="1">
        <f t="shared" si="5"/>
        <v>0</v>
      </c>
      <c r="P73" s="12">
        <f t="shared" si="4"/>
        <v>0</v>
      </c>
    </row>
    <row r="74" spans="1:16" s="1" customFormat="1" ht="96" x14ac:dyDescent="0.2">
      <c r="A74" s="14" t="s">
        <v>35</v>
      </c>
      <c r="B74" s="14" t="s">
        <v>80</v>
      </c>
      <c r="C74" s="10"/>
      <c r="D74" s="11">
        <v>3.3879999999999999</v>
      </c>
      <c r="O74" s="1">
        <f t="shared" si="5"/>
        <v>0</v>
      </c>
      <c r="P74" s="12">
        <f t="shared" si="4"/>
        <v>0</v>
      </c>
    </row>
    <row r="75" spans="1:16" s="1" customFormat="1" ht="96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5"/>
        <v>0</v>
      </c>
      <c r="P75" s="12">
        <f t="shared" si="4"/>
        <v>0</v>
      </c>
    </row>
    <row r="76" spans="1:16" s="1" customFormat="1" ht="96" x14ac:dyDescent="0.2">
      <c r="A76" s="14" t="s">
        <v>37</v>
      </c>
      <c r="B76" s="14" t="s">
        <v>82</v>
      </c>
      <c r="C76" s="10"/>
      <c r="D76" s="11">
        <v>2.702</v>
      </c>
      <c r="O76" s="1">
        <f t="shared" si="5"/>
        <v>0</v>
      </c>
      <c r="P76" s="12">
        <f t="shared" si="4"/>
        <v>0</v>
      </c>
    </row>
    <row r="77" spans="1:16" s="1" customFormat="1" ht="96" x14ac:dyDescent="0.2">
      <c r="A77" s="14" t="s">
        <v>38</v>
      </c>
      <c r="B77" s="14" t="s">
        <v>83</v>
      </c>
      <c r="C77" s="10"/>
      <c r="D77" s="11">
        <v>0.68599999999999994</v>
      </c>
      <c r="H77" s="1">
        <f>2*H3</f>
        <v>0</v>
      </c>
      <c r="J77" s="1">
        <f t="shared" ref="J77" si="6">2*J3</f>
        <v>0</v>
      </c>
      <c r="O77" s="1">
        <f t="shared" si="5"/>
        <v>0</v>
      </c>
      <c r="P77" s="12">
        <f t="shared" si="4"/>
        <v>0</v>
      </c>
    </row>
    <row r="78" spans="1:16" s="1" customFormat="1" ht="96" x14ac:dyDescent="0.2">
      <c r="A78" s="14" t="s">
        <v>39</v>
      </c>
      <c r="B78" s="14" t="s">
        <v>84</v>
      </c>
      <c r="C78" s="10"/>
      <c r="D78" s="11">
        <v>0.68599999999999994</v>
      </c>
      <c r="H78" s="1">
        <f>2*H3</f>
        <v>0</v>
      </c>
      <c r="J78" s="1">
        <f t="shared" ref="J78" si="7">2*J3</f>
        <v>0</v>
      </c>
      <c r="O78" s="1">
        <f t="shared" si="5"/>
        <v>0</v>
      </c>
      <c r="P78" s="12">
        <f t="shared" si="4"/>
        <v>0</v>
      </c>
    </row>
    <row r="79" spans="1:16" s="1" customFormat="1" ht="96" x14ac:dyDescent="0.2">
      <c r="A79" s="14" t="s">
        <v>40</v>
      </c>
      <c r="B79" s="14" t="s">
        <v>85</v>
      </c>
      <c r="C79" s="10"/>
      <c r="D79" s="11">
        <v>0.98</v>
      </c>
      <c r="E79" s="1">
        <f>2*E3</f>
        <v>0</v>
      </c>
      <c r="G79" s="1">
        <f t="shared" ref="G79" si="8">2*G3</f>
        <v>0</v>
      </c>
      <c r="O79" s="1">
        <f t="shared" si="5"/>
        <v>0</v>
      </c>
      <c r="P79" s="12">
        <f t="shared" si="4"/>
        <v>0</v>
      </c>
    </row>
    <row r="80" spans="1:16" s="1" customFormat="1" ht="96" x14ac:dyDescent="0.2">
      <c r="A80" s="14" t="s">
        <v>41</v>
      </c>
      <c r="B80" s="15" t="s">
        <v>254</v>
      </c>
      <c r="C80" s="16"/>
      <c r="D80" s="11">
        <v>0.98</v>
      </c>
      <c r="E80" s="1">
        <f>2*E3</f>
        <v>0</v>
      </c>
      <c r="G80" s="1">
        <f t="shared" ref="G80" si="9">2*G3</f>
        <v>0</v>
      </c>
      <c r="O80" s="1">
        <f t="shared" si="5"/>
        <v>0</v>
      </c>
      <c r="P80" s="12">
        <f t="shared" si="4"/>
        <v>0</v>
      </c>
    </row>
    <row r="81" spans="1:16" s="1" customFormat="1" ht="96" x14ac:dyDescent="0.2">
      <c r="A81" s="14" t="s">
        <v>136</v>
      </c>
      <c r="B81" s="14" t="s">
        <v>132</v>
      </c>
      <c r="C81" s="10"/>
      <c r="D81" s="11">
        <v>0.98</v>
      </c>
      <c r="O81" s="1">
        <f t="shared" si="5"/>
        <v>0</v>
      </c>
      <c r="P81" s="12">
        <f t="shared" si="4"/>
        <v>0</v>
      </c>
    </row>
    <row r="82" spans="1:16" s="1" customFormat="1" ht="96" x14ac:dyDescent="0.2">
      <c r="A82" s="14" t="s">
        <v>137</v>
      </c>
      <c r="B82" s="15" t="s">
        <v>255</v>
      </c>
      <c r="C82" s="16"/>
      <c r="D82" s="11">
        <v>0.98</v>
      </c>
      <c r="O82" s="1">
        <f t="shared" si="5"/>
        <v>0</v>
      </c>
      <c r="P82" s="12">
        <f t="shared" si="4"/>
        <v>0</v>
      </c>
    </row>
    <row r="83" spans="1:16" s="1" customFormat="1" ht="160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5"/>
        <v>0</v>
      </c>
      <c r="P83" s="12">
        <f t="shared" si="4"/>
        <v>0</v>
      </c>
    </row>
    <row r="84" spans="1:16" s="1" customFormat="1" ht="409.5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5"/>
        <v>0</v>
      </c>
      <c r="P84" s="12">
        <f t="shared" si="4"/>
        <v>0</v>
      </c>
    </row>
    <row r="85" spans="1:16" s="1" customFormat="1" ht="409.5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5"/>
        <v>0</v>
      </c>
      <c r="P85" s="12">
        <f t="shared" si="4"/>
        <v>0</v>
      </c>
    </row>
    <row r="86" spans="1:16" s="1" customFormat="1" ht="409.5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5"/>
        <v>0</v>
      </c>
      <c r="P86" s="12">
        <f t="shared" si="4"/>
        <v>0</v>
      </c>
    </row>
    <row r="87" spans="1:16" s="1" customFormat="1" ht="224" x14ac:dyDescent="0.2">
      <c r="A87" s="14" t="s">
        <v>180</v>
      </c>
      <c r="B87" s="10" t="s">
        <v>181</v>
      </c>
      <c r="C87" s="10"/>
      <c r="D87" s="11">
        <v>0.75</v>
      </c>
      <c r="O87" s="1">
        <f t="shared" si="5"/>
        <v>0</v>
      </c>
      <c r="P87" s="12">
        <f t="shared" si="4"/>
        <v>0</v>
      </c>
    </row>
    <row r="88" spans="1:16" s="1" customFormat="1" ht="224" x14ac:dyDescent="0.2">
      <c r="A88" s="14" t="s">
        <v>182</v>
      </c>
      <c r="B88" s="10" t="s">
        <v>183</v>
      </c>
      <c r="C88" s="10"/>
      <c r="D88" s="11">
        <v>0.75</v>
      </c>
      <c r="O88" s="1">
        <f t="shared" si="5"/>
        <v>0</v>
      </c>
      <c r="P88" s="12">
        <f t="shared" si="4"/>
        <v>0</v>
      </c>
    </row>
    <row r="89" spans="1:16" s="1" customFormat="1" ht="224" x14ac:dyDescent="0.2">
      <c r="A89" s="14" t="s">
        <v>184</v>
      </c>
      <c r="B89" s="10" t="s">
        <v>185</v>
      </c>
      <c r="C89" s="10"/>
      <c r="D89" s="11">
        <v>0.75</v>
      </c>
      <c r="O89" s="1">
        <f t="shared" si="5"/>
        <v>0</v>
      </c>
      <c r="P89" s="12">
        <f t="shared" si="4"/>
        <v>0</v>
      </c>
    </row>
    <row r="90" spans="1:16" s="1" customFormat="1" ht="160" x14ac:dyDescent="0.2">
      <c r="A90" s="14" t="s">
        <v>186</v>
      </c>
      <c r="B90" s="14" t="s">
        <v>256</v>
      </c>
      <c r="C90" s="10"/>
      <c r="D90" s="11">
        <v>0.75</v>
      </c>
      <c r="O90" s="1">
        <f t="shared" si="5"/>
        <v>0</v>
      </c>
      <c r="P90" s="12">
        <f t="shared" si="4"/>
        <v>0</v>
      </c>
    </row>
    <row r="91" spans="1:16" ht="72" customHeight="1" x14ac:dyDescent="0.2">
      <c r="O91" s="1">
        <f t="shared" si="5"/>
        <v>0</v>
      </c>
    </row>
    <row r="92" spans="1:16" s="24" customFormat="1" ht="111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  <ignoredErrors>
    <ignoredError sqref="O4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DC74-4D06-C247-B382-247DE2C7DB97}">
  <dimension ref="A1:R92"/>
  <sheetViews>
    <sheetView topLeftCell="E1" zoomScale="75" zoomScaleNormal="75" workbookViewId="0">
      <selection activeCell="J6" sqref="J6"/>
    </sheetView>
  </sheetViews>
  <sheetFormatPr baseColWidth="10" defaultRowHeight="16" x14ac:dyDescent="0.2"/>
  <cols>
    <col min="1" max="1" width="75.5" customWidth="1"/>
    <col min="2" max="2" width="49.83203125" customWidth="1"/>
    <col min="3" max="3" width="57.6640625" customWidth="1"/>
    <col min="4" max="4" width="44.1640625" customWidth="1"/>
    <col min="5" max="5" width="48.83203125" customWidth="1"/>
    <col min="6" max="6" width="56.33203125" customWidth="1"/>
    <col min="7" max="7" width="46.33203125" customWidth="1"/>
    <col min="8" max="8" width="50.83203125" customWidth="1"/>
    <col min="9" max="9" width="54.1640625" customWidth="1"/>
    <col min="10" max="10" width="54" customWidth="1"/>
    <col min="11" max="11" width="7.83203125" customWidth="1"/>
    <col min="12" max="13" width="7.33203125" customWidth="1"/>
    <col min="14" max="14" width="4.5" customWidth="1"/>
    <col min="15" max="15" width="26" customWidth="1"/>
    <col min="16" max="16" width="33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232</v>
      </c>
      <c r="F1" s="4" t="s">
        <v>233</v>
      </c>
      <c r="G1" s="4" t="s">
        <v>236</v>
      </c>
      <c r="H1" s="4" t="s">
        <v>234</v>
      </c>
      <c r="I1" s="4" t="s">
        <v>235</v>
      </c>
      <c r="J1" s="4" t="s">
        <v>237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2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G4" s="1">
        <f>6*G3</f>
        <v>0</v>
      </c>
      <c r="J4" s="1">
        <f>6*J3</f>
        <v>0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2*G3</f>
        <v>0</v>
      </c>
      <c r="J5" s="1">
        <f>2*J3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E6" s="1">
        <f>6*E3</f>
        <v>0</v>
      </c>
      <c r="F6" s="1">
        <f t="shared" ref="F6:I6" si="2">6*F3</f>
        <v>0</v>
      </c>
      <c r="H6" s="1">
        <f t="shared" si="2"/>
        <v>0</v>
      </c>
      <c r="I6" s="1">
        <f t="shared" si="2"/>
        <v>0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2*E3</f>
        <v>0</v>
      </c>
      <c r="F7" s="1">
        <f t="shared" ref="F7:I7" si="3">2*F3</f>
        <v>0</v>
      </c>
      <c r="H7" s="1">
        <f t="shared" si="3"/>
        <v>0</v>
      </c>
      <c r="I7" s="1">
        <f t="shared" si="3"/>
        <v>0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18*J3</f>
        <v>0</v>
      </c>
      <c r="O10" s="1">
        <f t="shared" si="1"/>
        <v>0</v>
      </c>
      <c r="P10" s="12">
        <f t="shared" si="0"/>
        <v>0</v>
      </c>
    </row>
    <row r="11" spans="1:18" s="1" customFormat="1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18*H3</f>
        <v>0</v>
      </c>
      <c r="I11" s="1">
        <f>18*I3</f>
        <v>0</v>
      </c>
      <c r="O11" s="1">
        <f t="shared" si="1"/>
        <v>0</v>
      </c>
      <c r="P11" s="12">
        <f t="shared" si="0"/>
        <v>0</v>
      </c>
    </row>
    <row r="12" spans="1:18" s="1" customFormat="1" ht="96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96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96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128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18*G3</f>
        <v>0</v>
      </c>
      <c r="O18" s="1">
        <f t="shared" si="1"/>
        <v>0</v>
      </c>
      <c r="P18" s="12">
        <f t="shared" si="0"/>
        <v>0</v>
      </c>
    </row>
    <row r="19" spans="1:16" s="1" customFormat="1" ht="96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18*E3</f>
        <v>0</v>
      </c>
      <c r="F20" s="1">
        <f>18*F3</f>
        <v>0</v>
      </c>
      <c r="O20" s="1">
        <f t="shared" si="1"/>
        <v>0</v>
      </c>
      <c r="P20" s="12">
        <f t="shared" si="0"/>
        <v>0</v>
      </c>
    </row>
    <row r="21" spans="1:16" s="1" customFormat="1" ht="96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96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96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32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96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96" x14ac:dyDescent="0.2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96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4">D36*O36</f>
        <v>0</v>
      </c>
    </row>
    <row r="37" spans="1:16" s="1" customFormat="1" ht="64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4"/>
        <v>0</v>
      </c>
    </row>
    <row r="38" spans="1:16" s="1" customFormat="1" ht="64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4"/>
        <v>0</v>
      </c>
    </row>
    <row r="39" spans="1:16" s="1" customFormat="1" ht="64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4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4"/>
        <v>0</v>
      </c>
    </row>
    <row r="41" spans="1:16" s="1" customFormat="1" ht="64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4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4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4"/>
        <v>0</v>
      </c>
    </row>
    <row r="44" spans="1:16" s="1" customFormat="1" ht="64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32*H3</f>
        <v>0</v>
      </c>
      <c r="I44" s="1">
        <f>32*I3</f>
        <v>0</v>
      </c>
      <c r="J44" s="1">
        <f>32*J3</f>
        <v>0</v>
      </c>
      <c r="O44" s="1">
        <f t="shared" si="1"/>
        <v>0</v>
      </c>
      <c r="P44" s="12">
        <f t="shared" si="4"/>
        <v>0</v>
      </c>
    </row>
    <row r="45" spans="1:16" s="1" customFormat="1" ht="64" x14ac:dyDescent="0.2">
      <c r="A45" s="9" t="s">
        <v>13</v>
      </c>
      <c r="B45" s="9" t="s">
        <v>60</v>
      </c>
      <c r="C45" s="10"/>
      <c r="D45" s="11">
        <v>0.73</v>
      </c>
      <c r="E45" s="1">
        <f>32*E3</f>
        <v>0</v>
      </c>
      <c r="F45" s="1">
        <f>32*F3</f>
        <v>0</v>
      </c>
      <c r="G45" s="1">
        <f>32*G3</f>
        <v>0</v>
      </c>
      <c r="O45" s="1">
        <f t="shared" si="1"/>
        <v>0</v>
      </c>
      <c r="P45" s="12">
        <f t="shared" si="4"/>
        <v>0</v>
      </c>
    </row>
    <row r="46" spans="1:16" s="1" customFormat="1" ht="64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4"/>
        <v>0</v>
      </c>
    </row>
    <row r="47" spans="1:16" s="1" customFormat="1" ht="64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4"/>
        <v>0</v>
      </c>
    </row>
    <row r="48" spans="1:16" s="1" customFormat="1" ht="99" customHeight="1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4"/>
        <v>0</v>
      </c>
    </row>
    <row r="49" spans="1:16" s="1" customFormat="1" ht="88" customHeight="1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4"/>
        <v>0</v>
      </c>
    </row>
    <row r="50" spans="1:16" s="1" customFormat="1" ht="79" customHeight="1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4"/>
        <v>0</v>
      </c>
    </row>
    <row r="51" spans="1:16" s="1" customFormat="1" ht="97" customHeight="1" x14ac:dyDescent="0.2">
      <c r="A51" s="14" t="s">
        <v>174</v>
      </c>
      <c r="B51" s="48" t="s">
        <v>190</v>
      </c>
      <c r="C51" s="10"/>
      <c r="D51" s="11">
        <v>8.6295999999999999</v>
      </c>
      <c r="E51" s="1">
        <f>2*E3</f>
        <v>0</v>
      </c>
      <c r="F51" s="1">
        <f>1*F3</f>
        <v>0</v>
      </c>
      <c r="G51" s="1">
        <f>2*G3</f>
        <v>0</v>
      </c>
      <c r="H51" s="1">
        <f>2*H3</f>
        <v>0</v>
      </c>
      <c r="I51" s="1">
        <f>1*I3</f>
        <v>0</v>
      </c>
      <c r="J51" s="1">
        <f>2*J3</f>
        <v>0</v>
      </c>
      <c r="O51" s="1">
        <f t="shared" si="1"/>
        <v>0</v>
      </c>
      <c r="P51" s="12">
        <f t="shared" si="4"/>
        <v>0</v>
      </c>
    </row>
    <row r="52" spans="1:16" s="1" customFormat="1" ht="64" customHeight="1" x14ac:dyDescent="0.2">
      <c r="A52" s="14" t="s">
        <v>175</v>
      </c>
      <c r="B52" s="48" t="s">
        <v>191</v>
      </c>
      <c r="C52" s="10"/>
      <c r="D52" s="11">
        <v>6.78</v>
      </c>
      <c r="O52" s="1">
        <f t="shared" si="1"/>
        <v>0</v>
      </c>
      <c r="P52" s="12">
        <f t="shared" si="4"/>
        <v>0</v>
      </c>
    </row>
    <row r="53" spans="1:16" s="1" customFormat="1" ht="68" customHeight="1" x14ac:dyDescent="0.2">
      <c r="A53" s="14" t="s">
        <v>18</v>
      </c>
      <c r="B53" s="14" t="s">
        <v>65</v>
      </c>
      <c r="C53" s="10"/>
      <c r="D53" s="11">
        <v>6.78</v>
      </c>
      <c r="O53" s="1">
        <f t="shared" si="1"/>
        <v>0</v>
      </c>
      <c r="P53" s="12">
        <f t="shared" si="4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4*H3</f>
        <v>0</v>
      </c>
      <c r="I54" s="1">
        <f>2*I3</f>
        <v>0</v>
      </c>
      <c r="J54" s="1">
        <f>4*J3</f>
        <v>0</v>
      </c>
      <c r="O54" s="1">
        <f t="shared" si="1"/>
        <v>0</v>
      </c>
      <c r="P54" s="12">
        <f t="shared" si="4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4*E3</f>
        <v>0</v>
      </c>
      <c r="F55" s="1">
        <f>2*F3</f>
        <v>0</v>
      </c>
      <c r="G55" s="1">
        <f>4*G3</f>
        <v>0</v>
      </c>
      <c r="O55" s="1">
        <f t="shared" si="1"/>
        <v>0</v>
      </c>
      <c r="P55" s="12">
        <f t="shared" si="4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4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>4*E3</f>
        <v>0</v>
      </c>
      <c r="F57" s="1">
        <f>2*F3</f>
        <v>0</v>
      </c>
      <c r="G57" s="1">
        <f>4*G3</f>
        <v>0</v>
      </c>
      <c r="H57" s="1">
        <f>4*H3</f>
        <v>0</v>
      </c>
      <c r="I57" s="1">
        <f>2*I3</f>
        <v>0</v>
      </c>
      <c r="J57" s="1">
        <f>4*J3</f>
        <v>0</v>
      </c>
      <c r="O57" s="1">
        <f t="shared" si="1"/>
        <v>0</v>
      </c>
      <c r="P57" s="12">
        <f t="shared" si="4"/>
        <v>0</v>
      </c>
    </row>
    <row r="58" spans="1:16" s="1" customFormat="1" ht="32" x14ac:dyDescent="0.2">
      <c r="A58" s="14" t="s">
        <v>23</v>
      </c>
      <c r="B58" s="14" t="s">
        <v>69</v>
      </c>
      <c r="C58" s="10"/>
      <c r="D58" s="11">
        <v>0.27922437673130196</v>
      </c>
      <c r="E58" s="1">
        <f>4*E3</f>
        <v>0</v>
      </c>
      <c r="F58" s="1">
        <f>2*F3</f>
        <v>0</v>
      </c>
      <c r="G58" s="1">
        <f>4*G3</f>
        <v>0</v>
      </c>
      <c r="H58" s="1">
        <f>4*H3</f>
        <v>0</v>
      </c>
      <c r="I58" s="1">
        <f>2*I3</f>
        <v>0</v>
      </c>
      <c r="J58" s="1">
        <f>4*J3</f>
        <v>0</v>
      </c>
      <c r="O58" s="1">
        <f t="shared" si="1"/>
        <v>0</v>
      </c>
      <c r="P58" s="12">
        <f t="shared" si="4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4*E3</f>
        <v>0</v>
      </c>
      <c r="F59" s="1">
        <f>2*F3</f>
        <v>0</v>
      </c>
      <c r="G59" s="1">
        <f>4*G3</f>
        <v>0</v>
      </c>
      <c r="H59" s="1">
        <f>4*H3</f>
        <v>0</v>
      </c>
      <c r="I59" s="1">
        <f>2*I3</f>
        <v>0</v>
      </c>
      <c r="J59" s="1">
        <f>4*J3</f>
        <v>0</v>
      </c>
      <c r="O59" s="1">
        <f t="shared" si="1"/>
        <v>0</v>
      </c>
      <c r="P59" s="12">
        <f t="shared" si="4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>4*E3</f>
        <v>0</v>
      </c>
      <c r="F60" s="1">
        <f>2*F3</f>
        <v>0</v>
      </c>
      <c r="G60" s="1">
        <f>4*G3</f>
        <v>0</v>
      </c>
      <c r="H60" s="1">
        <f>4*H3</f>
        <v>0</v>
      </c>
      <c r="I60" s="1">
        <f>2*I3</f>
        <v>0</v>
      </c>
      <c r="J60" s="1">
        <f>4*J3</f>
        <v>0</v>
      </c>
      <c r="O60" s="1">
        <f t="shared" si="1"/>
        <v>0</v>
      </c>
      <c r="P60" s="12">
        <f t="shared" si="4"/>
        <v>0</v>
      </c>
    </row>
    <row r="61" spans="1:16" s="1" customFormat="1" ht="64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4"/>
        <v>0</v>
      </c>
    </row>
    <row r="62" spans="1:16" s="1" customFormat="1" ht="160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4"/>
        <v>0</v>
      </c>
    </row>
    <row r="63" spans="1:16" s="1" customFormat="1" ht="160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4"/>
        <v>0</v>
      </c>
    </row>
    <row r="64" spans="1:16" s="1" customFormat="1" ht="64" x14ac:dyDescent="0.2">
      <c r="A64" s="14" t="s">
        <v>29</v>
      </c>
      <c r="B64" s="14" t="s">
        <v>75</v>
      </c>
      <c r="C64" s="10"/>
      <c r="D64" s="11">
        <v>1.1399999999999999</v>
      </c>
      <c r="E64" s="1">
        <f>4*E3</f>
        <v>0</v>
      </c>
      <c r="F64" s="1">
        <f>2*F3</f>
        <v>0</v>
      </c>
      <c r="G64" s="1">
        <f>4*G3</f>
        <v>0</v>
      </c>
      <c r="H64" s="1">
        <f>4*H3</f>
        <v>0</v>
      </c>
      <c r="I64" s="1">
        <f>2*I3</f>
        <v>0</v>
      </c>
      <c r="J64" s="1">
        <f>4*J3</f>
        <v>0</v>
      </c>
      <c r="O64" s="1">
        <f t="shared" si="1"/>
        <v>0</v>
      </c>
      <c r="P64" s="12">
        <f t="shared" si="4"/>
        <v>0</v>
      </c>
    </row>
    <row r="65" spans="1:16" s="1" customFormat="1" ht="65" customHeight="1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4"/>
        <v>0</v>
      </c>
    </row>
    <row r="66" spans="1:16" s="1" customFormat="1" ht="32" x14ac:dyDescent="0.2">
      <c r="A66" s="14" t="s">
        <v>31</v>
      </c>
      <c r="B66" s="14" t="s">
        <v>259</v>
      </c>
      <c r="C66" s="10"/>
      <c r="D66" s="11">
        <v>2.15</v>
      </c>
      <c r="O66" s="1">
        <f t="shared" si="1"/>
        <v>0</v>
      </c>
      <c r="P66" s="12">
        <f t="shared" si="4"/>
        <v>0</v>
      </c>
    </row>
    <row r="67" spans="1:16" s="1" customFormat="1" ht="64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4"/>
        <v>0</v>
      </c>
    </row>
    <row r="68" spans="1:16" s="1" customFormat="1" ht="64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5">D68*O68</f>
        <v>0</v>
      </c>
    </row>
    <row r="69" spans="1:16" s="1" customFormat="1" ht="64" x14ac:dyDescent="0.2">
      <c r="A69" s="14" t="s">
        <v>176</v>
      </c>
      <c r="B69" s="14" t="s">
        <v>192</v>
      </c>
      <c r="C69" s="10"/>
      <c r="D69" s="11">
        <v>5.5579999999999998</v>
      </c>
      <c r="E69" s="1">
        <f>1*E3</f>
        <v>0</v>
      </c>
      <c r="G69" s="1">
        <f>1*G3</f>
        <v>0</v>
      </c>
      <c r="H69" s="1">
        <f>1*H3</f>
        <v>0</v>
      </c>
      <c r="J69" s="1">
        <f>1*J3</f>
        <v>0</v>
      </c>
      <c r="O69" s="1">
        <f t="shared" ref="O69:O90" si="6">SUM(E69:J69)</f>
        <v>0</v>
      </c>
      <c r="P69" s="12">
        <f t="shared" si="5"/>
        <v>0</v>
      </c>
    </row>
    <row r="70" spans="1:16" s="1" customFormat="1" ht="64" x14ac:dyDescent="0.2">
      <c r="A70" s="14" t="s">
        <v>177</v>
      </c>
      <c r="B70" s="14" t="s">
        <v>193</v>
      </c>
      <c r="C70" s="10"/>
      <c r="D70" s="11">
        <v>5.5579999999999998</v>
      </c>
      <c r="E70" s="1">
        <f>1*E3</f>
        <v>0</v>
      </c>
      <c r="G70" s="1">
        <f>1*G3</f>
        <v>0</v>
      </c>
      <c r="H70" s="1">
        <f>1*H3</f>
        <v>0</v>
      </c>
      <c r="J70" s="1">
        <f>1*J3</f>
        <v>0</v>
      </c>
      <c r="O70" s="1">
        <f t="shared" si="6"/>
        <v>0</v>
      </c>
      <c r="P70" s="12">
        <f t="shared" si="5"/>
        <v>0</v>
      </c>
    </row>
    <row r="71" spans="1:16" s="1" customFormat="1" ht="64" x14ac:dyDescent="0.2">
      <c r="A71" s="14" t="s">
        <v>178</v>
      </c>
      <c r="B71" s="14" t="s">
        <v>194</v>
      </c>
      <c r="C71" s="10"/>
      <c r="D71" s="11">
        <v>5.5579999999999998</v>
      </c>
      <c r="O71" s="1">
        <f t="shared" si="6"/>
        <v>0</v>
      </c>
      <c r="P71" s="12">
        <f t="shared" si="5"/>
        <v>0</v>
      </c>
    </row>
    <row r="72" spans="1:16" s="1" customFormat="1" ht="64" x14ac:dyDescent="0.2">
      <c r="A72" s="14" t="s">
        <v>179</v>
      </c>
      <c r="B72" s="14" t="s">
        <v>195</v>
      </c>
      <c r="C72" s="10"/>
      <c r="D72" s="11">
        <v>5.5579999999999998</v>
      </c>
      <c r="O72" s="1">
        <f t="shared" si="6"/>
        <v>0</v>
      </c>
      <c r="P72" s="12">
        <f t="shared" si="5"/>
        <v>0</v>
      </c>
    </row>
    <row r="73" spans="1:16" s="1" customFormat="1" ht="64" x14ac:dyDescent="0.2">
      <c r="A73" s="14" t="s">
        <v>34</v>
      </c>
      <c r="B73" s="14" t="s">
        <v>79</v>
      </c>
      <c r="C73" s="10"/>
      <c r="D73" s="11">
        <v>3.3879999999999999</v>
      </c>
      <c r="O73" s="1">
        <f t="shared" si="6"/>
        <v>0</v>
      </c>
      <c r="P73" s="12">
        <f t="shared" si="5"/>
        <v>0</v>
      </c>
    </row>
    <row r="74" spans="1:16" s="1" customFormat="1" ht="64" x14ac:dyDescent="0.2">
      <c r="A74" s="14" t="s">
        <v>35</v>
      </c>
      <c r="B74" s="14" t="s">
        <v>80</v>
      </c>
      <c r="C74" s="10"/>
      <c r="D74" s="11">
        <v>3.3879999999999999</v>
      </c>
      <c r="O74" s="1">
        <f t="shared" si="6"/>
        <v>0</v>
      </c>
      <c r="P74" s="12">
        <f t="shared" si="5"/>
        <v>0</v>
      </c>
    </row>
    <row r="75" spans="1:16" s="1" customFormat="1" ht="32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6"/>
        <v>0</v>
      </c>
      <c r="P75" s="12">
        <f t="shared" si="5"/>
        <v>0</v>
      </c>
    </row>
    <row r="76" spans="1:16" s="1" customFormat="1" ht="64" x14ac:dyDescent="0.2">
      <c r="A76" s="14" t="s">
        <v>37</v>
      </c>
      <c r="B76" s="14" t="s">
        <v>82</v>
      </c>
      <c r="C76" s="10"/>
      <c r="D76" s="11">
        <v>2.702</v>
      </c>
      <c r="O76" s="1">
        <f t="shared" si="6"/>
        <v>0</v>
      </c>
      <c r="P76" s="12">
        <f t="shared" si="5"/>
        <v>0</v>
      </c>
    </row>
    <row r="77" spans="1:16" s="1" customFormat="1" ht="64" x14ac:dyDescent="0.2">
      <c r="A77" s="14" t="s">
        <v>38</v>
      </c>
      <c r="B77" s="14" t="s">
        <v>83</v>
      </c>
      <c r="C77" s="10"/>
      <c r="D77" s="11">
        <v>0.68599999999999994</v>
      </c>
      <c r="H77" s="1">
        <f>2*H3</f>
        <v>0</v>
      </c>
      <c r="J77" s="1">
        <f t="shared" ref="J77" si="7">2*J3</f>
        <v>0</v>
      </c>
      <c r="O77" s="1">
        <f t="shared" si="6"/>
        <v>0</v>
      </c>
      <c r="P77" s="12">
        <f t="shared" si="5"/>
        <v>0</v>
      </c>
    </row>
    <row r="78" spans="1:16" s="1" customFormat="1" ht="64" x14ac:dyDescent="0.2">
      <c r="A78" s="14" t="s">
        <v>39</v>
      </c>
      <c r="B78" s="14" t="s">
        <v>84</v>
      </c>
      <c r="C78" s="10"/>
      <c r="D78" s="11">
        <v>0.68599999999999994</v>
      </c>
      <c r="H78" s="1">
        <f>2*H3</f>
        <v>0</v>
      </c>
      <c r="J78" s="1">
        <f t="shared" ref="J78" si="8">2*J3</f>
        <v>0</v>
      </c>
      <c r="O78" s="1">
        <f t="shared" si="6"/>
        <v>0</v>
      </c>
      <c r="P78" s="12">
        <f t="shared" si="5"/>
        <v>0</v>
      </c>
    </row>
    <row r="79" spans="1:16" s="1" customFormat="1" ht="64" x14ac:dyDescent="0.2">
      <c r="A79" s="14" t="s">
        <v>40</v>
      </c>
      <c r="B79" s="14" t="s">
        <v>85</v>
      </c>
      <c r="C79" s="10"/>
      <c r="D79" s="11">
        <v>0.98</v>
      </c>
      <c r="E79" s="1">
        <f>2*E3</f>
        <v>0</v>
      </c>
      <c r="G79" s="1">
        <f t="shared" ref="G79" si="9">2*G3</f>
        <v>0</v>
      </c>
      <c r="O79" s="1">
        <f t="shared" si="6"/>
        <v>0</v>
      </c>
      <c r="P79" s="12">
        <f t="shared" si="5"/>
        <v>0</v>
      </c>
    </row>
    <row r="80" spans="1:16" s="1" customFormat="1" ht="64" x14ac:dyDescent="0.2">
      <c r="A80" s="14" t="s">
        <v>41</v>
      </c>
      <c r="B80" s="15" t="s">
        <v>254</v>
      </c>
      <c r="C80" s="16"/>
      <c r="D80" s="11">
        <v>0.98</v>
      </c>
      <c r="E80" s="1">
        <f>2*E3</f>
        <v>0</v>
      </c>
      <c r="G80" s="1">
        <f t="shared" ref="G80" si="10">2*G3</f>
        <v>0</v>
      </c>
      <c r="O80" s="1">
        <f t="shared" si="6"/>
        <v>0</v>
      </c>
      <c r="P80" s="12">
        <f t="shared" si="5"/>
        <v>0</v>
      </c>
    </row>
    <row r="81" spans="1:16" s="1" customFormat="1" ht="64" x14ac:dyDescent="0.2">
      <c r="A81" s="14" t="s">
        <v>136</v>
      </c>
      <c r="B81" s="14" t="s">
        <v>132</v>
      </c>
      <c r="C81" s="10"/>
      <c r="D81" s="11">
        <v>0.98</v>
      </c>
      <c r="O81" s="1">
        <f t="shared" si="6"/>
        <v>0</v>
      </c>
      <c r="P81" s="12">
        <f t="shared" si="5"/>
        <v>0</v>
      </c>
    </row>
    <row r="82" spans="1:16" s="1" customFormat="1" ht="64" x14ac:dyDescent="0.2">
      <c r="A82" s="14" t="s">
        <v>137</v>
      </c>
      <c r="B82" s="15" t="s">
        <v>255</v>
      </c>
      <c r="C82" s="16"/>
      <c r="D82" s="11">
        <v>0.98</v>
      </c>
      <c r="O82" s="1">
        <f t="shared" si="6"/>
        <v>0</v>
      </c>
      <c r="P82" s="12">
        <f t="shared" si="5"/>
        <v>0</v>
      </c>
    </row>
    <row r="83" spans="1:16" s="1" customFormat="1" ht="128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6"/>
        <v>0</v>
      </c>
      <c r="P83" s="12">
        <f t="shared" si="5"/>
        <v>0</v>
      </c>
    </row>
    <row r="84" spans="1:16" s="1" customFormat="1" ht="224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6"/>
        <v>0</v>
      </c>
      <c r="P84" s="12">
        <f t="shared" si="5"/>
        <v>0</v>
      </c>
    </row>
    <row r="85" spans="1:16" s="1" customFormat="1" ht="192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6"/>
        <v>0</v>
      </c>
      <c r="P85" s="12">
        <f t="shared" si="5"/>
        <v>0</v>
      </c>
    </row>
    <row r="86" spans="1:16" s="1" customFormat="1" ht="192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6"/>
        <v>0</v>
      </c>
      <c r="P86" s="12">
        <f t="shared" si="5"/>
        <v>0</v>
      </c>
    </row>
    <row r="87" spans="1:16" s="1" customFormat="1" ht="128" x14ac:dyDescent="0.2">
      <c r="A87" s="14" t="s">
        <v>180</v>
      </c>
      <c r="B87" s="10" t="s">
        <v>181</v>
      </c>
      <c r="C87" s="10"/>
      <c r="D87" s="11">
        <v>0.75</v>
      </c>
      <c r="O87" s="1">
        <f t="shared" si="6"/>
        <v>0</v>
      </c>
      <c r="P87" s="12">
        <f t="shared" si="5"/>
        <v>0</v>
      </c>
    </row>
    <row r="88" spans="1:16" s="1" customFormat="1" ht="128" x14ac:dyDescent="0.2">
      <c r="A88" s="14" t="s">
        <v>182</v>
      </c>
      <c r="B88" s="10" t="s">
        <v>183</v>
      </c>
      <c r="C88" s="10"/>
      <c r="D88" s="11">
        <v>0.75</v>
      </c>
      <c r="O88" s="1">
        <f t="shared" si="6"/>
        <v>0</v>
      </c>
      <c r="P88" s="12">
        <f t="shared" si="5"/>
        <v>0</v>
      </c>
    </row>
    <row r="89" spans="1:16" s="1" customFormat="1" ht="128" x14ac:dyDescent="0.2">
      <c r="A89" s="14" t="s">
        <v>184</v>
      </c>
      <c r="B89" s="10" t="s">
        <v>185</v>
      </c>
      <c r="C89" s="10"/>
      <c r="D89" s="11">
        <v>0.75</v>
      </c>
      <c r="O89" s="1">
        <f t="shared" si="6"/>
        <v>0</v>
      </c>
      <c r="P89" s="12">
        <f t="shared" si="5"/>
        <v>0</v>
      </c>
    </row>
    <row r="90" spans="1:16" s="1" customFormat="1" ht="128" x14ac:dyDescent="0.2">
      <c r="A90" s="14" t="s">
        <v>186</v>
      </c>
      <c r="B90" s="14" t="s">
        <v>256</v>
      </c>
      <c r="C90" s="10"/>
      <c r="D90" s="11">
        <v>0.75</v>
      </c>
      <c r="O90" s="1">
        <f t="shared" si="6"/>
        <v>0</v>
      </c>
      <c r="P90" s="12">
        <f t="shared" si="5"/>
        <v>0</v>
      </c>
    </row>
    <row r="91" spans="1:16" ht="45" customHeight="1" x14ac:dyDescent="0.2"/>
    <row r="92" spans="1:16" s="24" customFormat="1" ht="111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FCF1-0047-FC40-A671-1EB9C41BDFFB}">
  <dimension ref="A1:AT90"/>
  <sheetViews>
    <sheetView zoomScale="75" zoomScaleNormal="75" workbookViewId="0">
      <selection activeCell="O4" sqref="O4"/>
    </sheetView>
  </sheetViews>
  <sheetFormatPr baseColWidth="10" defaultRowHeight="31" x14ac:dyDescent="0.35"/>
  <cols>
    <col min="1" max="1" width="52.5" customWidth="1"/>
    <col min="2" max="2" width="59" customWidth="1"/>
    <col min="3" max="3" width="44.83203125" customWidth="1"/>
    <col min="4" max="4" width="44" customWidth="1"/>
    <col min="5" max="5" width="68.33203125" hidden="1" customWidth="1"/>
    <col min="6" max="6" width="12.6640625" hidden="1" customWidth="1"/>
    <col min="7" max="7" width="0.1640625" hidden="1" customWidth="1"/>
    <col min="8" max="9" width="68.33203125" hidden="1" customWidth="1"/>
    <col min="10" max="10" width="58.6640625" hidden="1" customWidth="1"/>
    <col min="11" max="14" width="0.1640625" hidden="1" customWidth="1"/>
    <col min="15" max="15" width="49.5" style="61" customWidth="1"/>
    <col min="16" max="16" width="41.6640625" style="61" customWidth="1"/>
  </cols>
  <sheetData>
    <row r="1" spans="1:16" ht="64" x14ac:dyDescent="0.35">
      <c r="A1" s="2" t="s">
        <v>88</v>
      </c>
      <c r="B1" s="2" t="s">
        <v>89</v>
      </c>
      <c r="C1" s="3" t="s">
        <v>86</v>
      </c>
      <c r="D1" s="3" t="s">
        <v>87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x14ac:dyDescent="0.35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80" t="s">
        <v>153</v>
      </c>
      <c r="P2" s="80"/>
    </row>
    <row r="3" spans="1:16" x14ac:dyDescent="0.3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1" t="s">
        <v>222</v>
      </c>
      <c r="P3" s="61" t="s">
        <v>223</v>
      </c>
    </row>
    <row r="4" spans="1:16" ht="64" x14ac:dyDescent="0.35">
      <c r="A4" s="9" t="s">
        <v>108</v>
      </c>
      <c r="B4" s="9" t="s">
        <v>42</v>
      </c>
      <c r="C4" s="10"/>
      <c r="D4" s="11">
        <v>3.2071200000000002</v>
      </c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6" ht="64" x14ac:dyDescent="0.35">
      <c r="A5" s="9" t="s">
        <v>109</v>
      </c>
      <c r="B5" s="9" t="s">
        <v>43</v>
      </c>
      <c r="C5" s="10"/>
      <c r="D5" s="11">
        <v>4.1087199999999999</v>
      </c>
      <c r="E5" s="66"/>
      <c r="F5" s="66"/>
      <c r="G5" s="66"/>
      <c r="H5" s="66"/>
      <c r="I5" s="66"/>
      <c r="J5" s="66"/>
      <c r="K5" s="66"/>
      <c r="L5" s="66"/>
      <c r="M5" s="66"/>
      <c r="N5" s="66"/>
    </row>
    <row r="6" spans="1:16" ht="64" x14ac:dyDescent="0.35">
      <c r="A6" s="9" t="s">
        <v>110</v>
      </c>
      <c r="B6" s="9" t="s">
        <v>44</v>
      </c>
      <c r="C6" s="10"/>
      <c r="D6" s="11">
        <v>3.47</v>
      </c>
      <c r="E6" s="66"/>
      <c r="F6" s="66"/>
      <c r="G6" s="66"/>
      <c r="H6" s="66"/>
      <c r="I6" s="66"/>
      <c r="J6" s="66"/>
      <c r="K6" s="66"/>
      <c r="L6" s="66"/>
      <c r="M6" s="66"/>
      <c r="N6" s="66"/>
    </row>
    <row r="7" spans="1:16" ht="64" x14ac:dyDescent="0.35">
      <c r="A7" s="9" t="s">
        <v>111</v>
      </c>
      <c r="B7" s="9" t="s">
        <v>45</v>
      </c>
      <c r="C7" s="10"/>
      <c r="D7" s="11">
        <v>4.2699999999999996</v>
      </c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1:16" ht="64" x14ac:dyDescent="0.35">
      <c r="A8" s="9" t="s">
        <v>112</v>
      </c>
      <c r="B8" s="9" t="s">
        <v>46</v>
      </c>
      <c r="C8" s="10"/>
      <c r="D8" s="11">
        <v>6.23</v>
      </c>
      <c r="E8" s="66"/>
      <c r="F8" s="66"/>
      <c r="G8" s="66"/>
      <c r="H8" s="66"/>
      <c r="I8" s="66"/>
      <c r="J8" s="66"/>
      <c r="K8" s="66"/>
      <c r="L8" s="66"/>
      <c r="M8" s="66"/>
      <c r="N8" s="66"/>
    </row>
    <row r="9" spans="1:16" ht="64" x14ac:dyDescent="0.35">
      <c r="A9" s="9" t="s">
        <v>113</v>
      </c>
      <c r="B9" s="9" t="s">
        <v>47</v>
      </c>
      <c r="C9" s="10"/>
      <c r="D9" s="11">
        <v>7.6579999999999995</v>
      </c>
      <c r="E9" s="66"/>
      <c r="F9" s="66"/>
      <c r="G9" s="66"/>
      <c r="H9" s="66"/>
      <c r="I9" s="66"/>
      <c r="J9" s="66"/>
      <c r="K9" s="66"/>
      <c r="L9" s="66"/>
      <c r="M9" s="66"/>
      <c r="N9" s="66"/>
    </row>
    <row r="10" spans="1:16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</row>
    <row r="11" spans="1:16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</row>
    <row r="12" spans="1:16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</row>
    <row r="13" spans="1:16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</row>
    <row r="14" spans="1:16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6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</row>
    <row r="16" spans="1:16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</row>
    <row r="17" spans="1:46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</row>
    <row r="18" spans="1:46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</row>
    <row r="19" spans="1:46" ht="83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</row>
    <row r="20" spans="1:46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</row>
    <row r="21" spans="1:46" ht="96" x14ac:dyDescent="0.2">
      <c r="A21" s="9" t="s">
        <v>5</v>
      </c>
      <c r="B21" s="9" t="s">
        <v>53</v>
      </c>
      <c r="C21" s="10" t="s">
        <v>90</v>
      </c>
      <c r="D21" s="11">
        <v>5.3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spans="1:46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46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</row>
    <row r="24" spans="1:46" ht="64" x14ac:dyDescent="0.2">
      <c r="A24" s="9" t="s">
        <v>162</v>
      </c>
      <c r="B24" s="9" t="s">
        <v>163</v>
      </c>
      <c r="C24" s="10"/>
      <c r="D24" s="11">
        <v>0.24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</row>
    <row r="25" spans="1:46" ht="64" x14ac:dyDescent="0.2">
      <c r="A25" s="9" t="s">
        <v>164</v>
      </c>
      <c r="B25" s="9" t="s">
        <v>165</v>
      </c>
      <c r="C25" s="10"/>
      <c r="D25" s="11">
        <v>0.17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</row>
    <row r="26" spans="1:46" ht="96" x14ac:dyDescent="0.2">
      <c r="A26" s="14" t="s">
        <v>166</v>
      </c>
      <c r="B26" s="14" t="s">
        <v>167</v>
      </c>
      <c r="C26" s="10"/>
      <c r="D26" s="11">
        <v>7.2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</row>
    <row r="27" spans="1:46" ht="96" x14ac:dyDescent="0.2">
      <c r="A27" s="78" t="s">
        <v>316</v>
      </c>
      <c r="B27" s="14" t="s">
        <v>169</v>
      </c>
      <c r="C27" s="10"/>
      <c r="D27" s="11">
        <v>7.2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</row>
    <row r="28" spans="1:46" ht="96" x14ac:dyDescent="0.2">
      <c r="A28" s="78" t="s">
        <v>314</v>
      </c>
      <c r="B28" s="14" t="s">
        <v>315</v>
      </c>
      <c r="C28" s="10"/>
      <c r="D28" s="11">
        <v>7.2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</row>
    <row r="29" spans="1:46" ht="145" customHeight="1" x14ac:dyDescent="0.2">
      <c r="A29" s="14" t="s">
        <v>170</v>
      </c>
      <c r="B29" s="14" t="s">
        <v>171</v>
      </c>
      <c r="C29" s="10"/>
      <c r="D29" s="11">
        <v>7.2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</row>
    <row r="30" spans="1:46" ht="145" customHeight="1" x14ac:dyDescent="0.2">
      <c r="A30" s="78" t="s">
        <v>312</v>
      </c>
      <c r="B30" s="14" t="s">
        <v>173</v>
      </c>
      <c r="C30" s="10"/>
      <c r="D30" s="11">
        <v>7.2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</row>
    <row r="31" spans="1:46" ht="134" customHeight="1" x14ac:dyDescent="0.2">
      <c r="A31" s="14" t="s">
        <v>172</v>
      </c>
      <c r="B31" s="14" t="s">
        <v>173</v>
      </c>
      <c r="C31" s="10"/>
      <c r="D31" s="11">
        <v>7.2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</row>
    <row r="32" spans="1:46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</row>
    <row r="33" spans="1:14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</row>
    <row r="34" spans="1:14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</row>
    <row r="35" spans="1:14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</row>
    <row r="36" spans="1:14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</row>
    <row r="37" spans="1:14" ht="96" x14ac:dyDescent="0.2">
      <c r="A37" s="9" t="s">
        <v>143</v>
      </c>
      <c r="B37" s="9" t="s">
        <v>152</v>
      </c>
      <c r="C37" s="10" t="s">
        <v>9</v>
      </c>
      <c r="D37" s="11">
        <v>6.6220000000000008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</row>
    <row r="38" spans="1:14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1:14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</row>
    <row r="40" spans="1:14" ht="64" x14ac:dyDescent="0.2">
      <c r="A40" s="9" t="s">
        <v>117</v>
      </c>
      <c r="B40" s="9" t="s">
        <v>98</v>
      </c>
      <c r="C40" s="10" t="s">
        <v>9</v>
      </c>
      <c r="D40" s="11">
        <v>7.22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</row>
    <row r="41" spans="1:14" ht="96" x14ac:dyDescent="0.2">
      <c r="A41" s="9" t="s">
        <v>11</v>
      </c>
      <c r="B41" s="9" t="s">
        <v>57</v>
      </c>
      <c r="C41" s="10" t="s">
        <v>9</v>
      </c>
      <c r="D41" s="11">
        <v>5.16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</row>
    <row r="42" spans="1:14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</row>
    <row r="43" spans="1:14" ht="64" x14ac:dyDescent="0.2">
      <c r="A43" s="9" t="s">
        <v>115</v>
      </c>
      <c r="B43" s="9" t="s">
        <v>58</v>
      </c>
      <c r="C43" s="10" t="s">
        <v>9</v>
      </c>
      <c r="D43" s="11">
        <v>7.22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</row>
    <row r="44" spans="1:14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</row>
    <row r="45" spans="1:14" ht="96" x14ac:dyDescent="0.2">
      <c r="A45" s="9" t="s">
        <v>13</v>
      </c>
      <c r="B45" s="9" t="s">
        <v>60</v>
      </c>
      <c r="C45" s="10"/>
      <c r="D45" s="11">
        <v>0.73</v>
      </c>
      <c r="E45" s="66"/>
      <c r="F45" s="66"/>
      <c r="G45" s="66"/>
      <c r="H45" s="66"/>
      <c r="I45" s="66"/>
      <c r="J45" s="66"/>
      <c r="K45" s="66"/>
      <c r="L45" s="66"/>
      <c r="M45" s="66"/>
      <c r="N45" s="66"/>
    </row>
    <row r="46" spans="1:14" ht="96" x14ac:dyDescent="0.2">
      <c r="A46" s="9" t="s">
        <v>135</v>
      </c>
      <c r="B46" s="9" t="s">
        <v>134</v>
      </c>
      <c r="C46" s="10"/>
      <c r="D46" s="11">
        <v>0.73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</row>
    <row r="47" spans="1:14" ht="96" x14ac:dyDescent="0.2">
      <c r="A47" s="14" t="s">
        <v>14</v>
      </c>
      <c r="B47" s="14" t="s">
        <v>61</v>
      </c>
      <c r="C47" s="10"/>
      <c r="D47" s="11">
        <v>1.8620000000000001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</row>
    <row r="48" spans="1:14" ht="64" x14ac:dyDescent="0.2">
      <c r="A48" s="14" t="s">
        <v>15</v>
      </c>
      <c r="B48" s="14" t="s">
        <v>62</v>
      </c>
      <c r="C48" s="10"/>
      <c r="D48" s="11">
        <v>0.96600000000000008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</row>
    <row r="49" spans="1:46" ht="64" x14ac:dyDescent="0.2">
      <c r="A49" s="14" t="s">
        <v>16</v>
      </c>
      <c r="B49" s="14" t="s">
        <v>63</v>
      </c>
      <c r="C49" s="10"/>
      <c r="D49" s="11">
        <v>0.83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</row>
    <row r="50" spans="1:46" ht="32" x14ac:dyDescent="0.2">
      <c r="A50" s="14" t="s">
        <v>17</v>
      </c>
      <c r="B50" s="14" t="s">
        <v>64</v>
      </c>
      <c r="C50" s="10"/>
      <c r="D50" s="11">
        <v>10.497199999999999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</row>
    <row r="51" spans="1:46" ht="47" x14ac:dyDescent="0.2">
      <c r="A51" s="14" t="s">
        <v>174</v>
      </c>
      <c r="B51" s="14" t="s">
        <v>190</v>
      </c>
      <c r="C51" s="10"/>
      <c r="D51" s="11">
        <v>8.6295999999999999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</row>
    <row r="52" spans="1:46" ht="47" x14ac:dyDescent="0.2">
      <c r="A52" s="14" t="s">
        <v>175</v>
      </c>
      <c r="B52" s="14" t="s">
        <v>191</v>
      </c>
      <c r="C52" s="10"/>
      <c r="D52" s="11">
        <v>6.78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</row>
    <row r="53" spans="1:46" ht="32" x14ac:dyDescent="0.2">
      <c r="A53" s="14" t="s">
        <v>18</v>
      </c>
      <c r="B53" s="14" t="s">
        <v>65</v>
      </c>
      <c r="C53" s="10"/>
      <c r="D53" s="11">
        <v>6.78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</row>
    <row r="54" spans="1:46" ht="32" x14ac:dyDescent="0.2">
      <c r="A54" s="14" t="s">
        <v>19</v>
      </c>
      <c r="B54" s="14" t="s">
        <v>66</v>
      </c>
      <c r="C54" s="10"/>
      <c r="D54" s="11">
        <v>2.6661599999999996</v>
      </c>
      <c r="E54" s="66"/>
      <c r="F54" s="66"/>
      <c r="G54" s="66"/>
      <c r="H54" s="66"/>
      <c r="I54" s="66"/>
      <c r="J54" s="66"/>
      <c r="K54" s="66"/>
      <c r="L54" s="66"/>
      <c r="M54" s="66"/>
      <c r="N54" s="66"/>
    </row>
    <row r="55" spans="1:46" ht="32" x14ac:dyDescent="0.2">
      <c r="A55" s="14" t="s">
        <v>20</v>
      </c>
      <c r="B55" s="14" t="s">
        <v>67</v>
      </c>
      <c r="C55" s="10"/>
      <c r="D55" s="11">
        <v>3.4389599999999998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</row>
    <row r="56" spans="1:46" ht="32" x14ac:dyDescent="0.2">
      <c r="A56" s="14" t="s">
        <v>21</v>
      </c>
      <c r="B56" s="14" t="s">
        <v>131</v>
      </c>
      <c r="C56" s="10"/>
      <c r="D56" s="11">
        <v>3.4389599999999998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</row>
    <row r="57" spans="1:46" ht="64" x14ac:dyDescent="0.2">
      <c r="A57" s="14" t="s">
        <v>22</v>
      </c>
      <c r="B57" s="14" t="s">
        <v>70</v>
      </c>
      <c r="C57" s="10"/>
      <c r="D57" s="11">
        <v>0.15512465373961221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</row>
    <row r="58" spans="1:46" ht="64" x14ac:dyDescent="0.2">
      <c r="A58" s="14" t="s">
        <v>23</v>
      </c>
      <c r="B58" s="14" t="s">
        <v>69</v>
      </c>
      <c r="C58" s="10"/>
      <c r="D58" s="11">
        <v>0.27922437673130196</v>
      </c>
      <c r="E58" s="66"/>
      <c r="F58" s="66"/>
      <c r="G58" s="66"/>
      <c r="H58" s="66"/>
      <c r="I58" s="66"/>
      <c r="J58" s="66"/>
      <c r="K58" s="66"/>
      <c r="L58" s="66"/>
      <c r="M58" s="66"/>
      <c r="N58" s="66"/>
    </row>
    <row r="59" spans="1:46" ht="64" x14ac:dyDescent="0.2">
      <c r="A59" s="14" t="s">
        <v>24</v>
      </c>
      <c r="B59" s="14" t="s">
        <v>68</v>
      </c>
      <c r="C59" s="10"/>
      <c r="D59" s="11">
        <v>0.12409972299168978</v>
      </c>
      <c r="E59" s="66"/>
      <c r="F59" s="66"/>
      <c r="G59" s="66"/>
      <c r="H59" s="66"/>
      <c r="I59" s="66"/>
      <c r="J59" s="66"/>
      <c r="K59" s="66"/>
      <c r="L59" s="66"/>
      <c r="M59" s="66"/>
      <c r="N59" s="66"/>
    </row>
    <row r="60" spans="1:46" ht="64" x14ac:dyDescent="0.2">
      <c r="A60" s="14" t="s">
        <v>25</v>
      </c>
      <c r="B60" s="14" t="s">
        <v>71</v>
      </c>
      <c r="C60" s="10"/>
      <c r="D60" s="11">
        <v>3.1024930747922445E-2</v>
      </c>
      <c r="E60" s="66"/>
      <c r="F60" s="66"/>
      <c r="G60" s="66"/>
      <c r="H60" s="66"/>
      <c r="I60" s="66"/>
      <c r="J60" s="66"/>
      <c r="K60" s="66"/>
      <c r="L60" s="66"/>
      <c r="M60" s="66"/>
      <c r="N60" s="66"/>
    </row>
    <row r="61" spans="1:46" ht="64" x14ac:dyDescent="0.2">
      <c r="A61" s="14" t="s">
        <v>26</v>
      </c>
      <c r="B61" s="14" t="s">
        <v>72</v>
      </c>
      <c r="C61" s="10"/>
      <c r="D61" s="11">
        <v>3.49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</row>
    <row r="62" spans="1:46" ht="192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66"/>
      <c r="F62" s="66"/>
      <c r="G62" s="66"/>
      <c r="H62" s="66"/>
      <c r="I62" s="66"/>
      <c r="J62" s="66"/>
      <c r="K62" s="66"/>
      <c r="L62" s="66"/>
      <c r="M62" s="66"/>
      <c r="N62" s="66"/>
    </row>
    <row r="63" spans="1:46" ht="192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</row>
    <row r="64" spans="1:46" ht="64" x14ac:dyDescent="0.2">
      <c r="A64" s="14" t="s">
        <v>29</v>
      </c>
      <c r="B64" s="14" t="s">
        <v>75</v>
      </c>
      <c r="C64" s="10"/>
      <c r="D64" s="11">
        <v>1.1399999999999999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</row>
    <row r="65" spans="1:46" ht="64" x14ac:dyDescent="0.2">
      <c r="A65" s="14" t="s">
        <v>30</v>
      </c>
      <c r="B65" s="14" t="s">
        <v>76</v>
      </c>
      <c r="C65" s="10"/>
      <c r="D65" s="11">
        <v>1.22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</row>
    <row r="66" spans="1:46" ht="64" x14ac:dyDescent="0.2">
      <c r="A66" s="14" t="s">
        <v>31</v>
      </c>
      <c r="B66" s="14" t="s">
        <v>259</v>
      </c>
      <c r="C66" s="10"/>
      <c r="D66" s="11">
        <v>2.15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</row>
    <row r="67" spans="1:46" ht="96" x14ac:dyDescent="0.2">
      <c r="A67" s="14" t="s">
        <v>32</v>
      </c>
      <c r="B67" s="14" t="s">
        <v>77</v>
      </c>
      <c r="C67" s="10"/>
      <c r="D67" s="11">
        <v>5.5579999999999998</v>
      </c>
      <c r="E67" s="66"/>
      <c r="F67" s="66"/>
      <c r="G67" s="66"/>
      <c r="H67" s="66"/>
      <c r="I67" s="66"/>
      <c r="J67" s="66"/>
      <c r="K67" s="66"/>
      <c r="L67" s="66"/>
      <c r="M67" s="66"/>
      <c r="N67" s="66"/>
    </row>
    <row r="68" spans="1:46" ht="96" x14ac:dyDescent="0.2">
      <c r="A68" s="14" t="s">
        <v>33</v>
      </c>
      <c r="B68" s="14" t="s">
        <v>78</v>
      </c>
      <c r="C68" s="10"/>
      <c r="D68" s="11">
        <v>5.5579999999999998</v>
      </c>
      <c r="E68" s="66"/>
      <c r="F68" s="66"/>
      <c r="G68" s="66"/>
      <c r="H68" s="66"/>
      <c r="I68" s="66"/>
      <c r="J68" s="66"/>
      <c r="K68" s="66"/>
      <c r="L68" s="66"/>
      <c r="M68" s="66"/>
      <c r="N68" s="66"/>
    </row>
    <row r="69" spans="1:46" ht="96" x14ac:dyDescent="0.2">
      <c r="A69" s="14" t="s">
        <v>176</v>
      </c>
      <c r="B69" s="14" t="s">
        <v>192</v>
      </c>
      <c r="C69" s="10"/>
      <c r="D69" s="11">
        <v>5.5579999999999998</v>
      </c>
      <c r="E69" s="66"/>
      <c r="F69" s="66"/>
      <c r="G69" s="66"/>
      <c r="H69" s="66"/>
      <c r="I69" s="66"/>
      <c r="J69" s="66"/>
      <c r="K69" s="66"/>
      <c r="L69" s="66"/>
      <c r="M69" s="66"/>
      <c r="N69" s="66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</row>
    <row r="70" spans="1:46" ht="96" x14ac:dyDescent="0.2">
      <c r="A70" s="14" t="s">
        <v>177</v>
      </c>
      <c r="B70" s="14" t="s">
        <v>193</v>
      </c>
      <c r="C70" s="10"/>
      <c r="D70" s="11">
        <v>5.5579999999999998</v>
      </c>
      <c r="E70" s="66"/>
      <c r="F70" s="66"/>
      <c r="G70" s="66"/>
      <c r="H70" s="66"/>
      <c r="I70" s="66"/>
      <c r="J70" s="66"/>
      <c r="K70" s="66"/>
      <c r="L70" s="66"/>
      <c r="M70" s="66"/>
      <c r="N70" s="66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</row>
    <row r="71" spans="1:46" ht="96" x14ac:dyDescent="0.2">
      <c r="A71" s="14" t="s">
        <v>178</v>
      </c>
      <c r="B71" s="14" t="s">
        <v>194</v>
      </c>
      <c r="C71" s="10"/>
      <c r="D71" s="11">
        <v>5.5579999999999998</v>
      </c>
      <c r="E71" s="66"/>
      <c r="F71" s="66"/>
      <c r="G71" s="66"/>
      <c r="H71" s="66"/>
      <c r="I71" s="66"/>
      <c r="J71" s="66"/>
      <c r="K71" s="66"/>
      <c r="L71" s="66"/>
      <c r="M71" s="66"/>
      <c r="N71" s="66"/>
    </row>
    <row r="72" spans="1:46" ht="96" x14ac:dyDescent="0.2">
      <c r="A72" s="14" t="s">
        <v>179</v>
      </c>
      <c r="B72" s="14" t="s">
        <v>195</v>
      </c>
      <c r="C72" s="10"/>
      <c r="D72" s="11">
        <v>5.5579999999999998</v>
      </c>
      <c r="E72" s="66"/>
      <c r="F72" s="66"/>
      <c r="G72" s="66"/>
      <c r="H72" s="66"/>
      <c r="I72" s="66"/>
      <c r="J72" s="66"/>
      <c r="K72" s="66"/>
      <c r="L72" s="66"/>
      <c r="M72" s="66"/>
      <c r="N72" s="66"/>
    </row>
    <row r="73" spans="1:46" ht="96" x14ac:dyDescent="0.2">
      <c r="A73" s="14" t="s">
        <v>34</v>
      </c>
      <c r="B73" s="14" t="s">
        <v>79</v>
      </c>
      <c r="C73" s="10"/>
      <c r="D73" s="11">
        <v>3.3879999999999999</v>
      </c>
      <c r="E73" s="66"/>
      <c r="F73" s="66"/>
      <c r="G73" s="66"/>
      <c r="H73" s="66"/>
      <c r="I73" s="66"/>
      <c r="J73" s="66"/>
      <c r="K73" s="66"/>
      <c r="L73" s="66"/>
      <c r="M73" s="66"/>
      <c r="N73" s="66"/>
    </row>
    <row r="74" spans="1:46" ht="96" x14ac:dyDescent="0.2">
      <c r="A74" s="14" t="s">
        <v>35</v>
      </c>
      <c r="B74" s="14" t="s">
        <v>80</v>
      </c>
      <c r="C74" s="10"/>
      <c r="D74" s="11">
        <v>3.3879999999999999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</row>
    <row r="75" spans="1:46" ht="64" x14ac:dyDescent="0.2">
      <c r="A75" s="14" t="s">
        <v>36</v>
      </c>
      <c r="B75" s="14" t="s">
        <v>81</v>
      </c>
      <c r="C75" s="10"/>
      <c r="D75" s="11">
        <v>2.1280000000000001</v>
      </c>
      <c r="E75" s="66"/>
      <c r="F75" s="66"/>
      <c r="G75" s="66"/>
      <c r="H75" s="66"/>
      <c r="I75" s="66"/>
      <c r="J75" s="66"/>
      <c r="K75" s="66"/>
      <c r="L75" s="66"/>
      <c r="M75" s="66"/>
      <c r="N75" s="66"/>
    </row>
    <row r="76" spans="1:46" ht="64" x14ac:dyDescent="0.2">
      <c r="A76" s="14" t="s">
        <v>37</v>
      </c>
      <c r="B76" s="14" t="s">
        <v>82</v>
      </c>
      <c r="C76" s="10"/>
      <c r="D76" s="11">
        <v>2.702</v>
      </c>
      <c r="E76" s="66"/>
      <c r="F76" s="66"/>
      <c r="G76" s="66"/>
      <c r="H76" s="66"/>
      <c r="I76" s="66"/>
      <c r="J76" s="66"/>
      <c r="K76" s="66"/>
      <c r="L76" s="66"/>
      <c r="M76" s="66"/>
      <c r="N76" s="66"/>
    </row>
    <row r="77" spans="1:46" ht="96" x14ac:dyDescent="0.2">
      <c r="A77" s="14" t="s">
        <v>38</v>
      </c>
      <c r="B77" s="14" t="s">
        <v>83</v>
      </c>
      <c r="C77" s="10"/>
      <c r="D77" s="11">
        <v>0.68599999999999994</v>
      </c>
      <c r="E77" s="66"/>
      <c r="F77" s="66"/>
      <c r="G77" s="66"/>
      <c r="H77" s="66"/>
      <c r="I77" s="66"/>
      <c r="J77" s="66"/>
      <c r="K77" s="66"/>
      <c r="L77" s="66"/>
      <c r="M77" s="66"/>
      <c r="N77" s="66"/>
    </row>
    <row r="78" spans="1:46" ht="96" x14ac:dyDescent="0.2">
      <c r="A78" s="14" t="s">
        <v>39</v>
      </c>
      <c r="B78" s="14" t="s">
        <v>84</v>
      </c>
      <c r="C78" s="10"/>
      <c r="D78" s="11">
        <v>0.68599999999999994</v>
      </c>
      <c r="E78" s="66"/>
      <c r="F78" s="66"/>
      <c r="G78" s="66"/>
      <c r="H78" s="66"/>
      <c r="I78" s="66"/>
      <c r="J78" s="66"/>
      <c r="K78" s="66"/>
      <c r="L78" s="66"/>
      <c r="M78" s="66"/>
      <c r="N78" s="66"/>
    </row>
    <row r="79" spans="1:46" ht="96" x14ac:dyDescent="0.2">
      <c r="A79" s="14" t="s">
        <v>40</v>
      </c>
      <c r="B79" s="14" t="s">
        <v>85</v>
      </c>
      <c r="C79" s="10"/>
      <c r="D79" s="11">
        <v>0.98</v>
      </c>
      <c r="E79" s="66"/>
      <c r="F79" s="66"/>
      <c r="G79" s="66"/>
      <c r="H79" s="66"/>
      <c r="I79" s="66"/>
      <c r="J79" s="66"/>
      <c r="K79" s="66"/>
      <c r="L79" s="66"/>
      <c r="M79" s="66"/>
      <c r="N79" s="66"/>
    </row>
    <row r="80" spans="1:46" ht="96" x14ac:dyDescent="0.2">
      <c r="A80" s="14" t="s">
        <v>41</v>
      </c>
      <c r="B80" s="15" t="s">
        <v>254</v>
      </c>
      <c r="C80" s="16"/>
      <c r="D80" s="11">
        <v>0.98</v>
      </c>
      <c r="E80" s="66"/>
      <c r="F80" s="66"/>
      <c r="G80" s="66"/>
      <c r="H80" s="66"/>
      <c r="I80" s="66"/>
      <c r="J80" s="66"/>
      <c r="K80" s="66"/>
      <c r="L80" s="66"/>
      <c r="M80" s="66"/>
      <c r="N80" s="66"/>
    </row>
    <row r="81" spans="1:46" ht="96" x14ac:dyDescent="0.2">
      <c r="A81" s="14" t="s">
        <v>136</v>
      </c>
      <c r="B81" s="14" t="s">
        <v>132</v>
      </c>
      <c r="C81" s="10"/>
      <c r="D81" s="11">
        <v>0.98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</row>
    <row r="82" spans="1:46" ht="96" x14ac:dyDescent="0.2">
      <c r="A82" s="14" t="s">
        <v>137</v>
      </c>
      <c r="B82" s="14" t="s">
        <v>133</v>
      </c>
      <c r="C82" s="10"/>
      <c r="D82" s="11">
        <v>0.68599999999999994</v>
      </c>
      <c r="E82" s="66"/>
      <c r="F82" s="66"/>
      <c r="G82" s="66"/>
      <c r="H82" s="66"/>
      <c r="I82" s="66"/>
      <c r="J82" s="66"/>
      <c r="K82" s="66"/>
      <c r="L82" s="66"/>
      <c r="M82" s="66"/>
      <c r="N82" s="66"/>
    </row>
    <row r="83" spans="1:46" ht="128" x14ac:dyDescent="0.2">
      <c r="A83" s="10" t="s">
        <v>154</v>
      </c>
      <c r="B83" s="10" t="s">
        <v>155</v>
      </c>
      <c r="C83" s="10"/>
      <c r="D83" s="11">
        <v>19.137999999999998</v>
      </c>
      <c r="E83" s="66"/>
      <c r="F83" s="66"/>
      <c r="G83" s="66"/>
      <c r="H83" s="66"/>
      <c r="I83" s="66"/>
      <c r="J83" s="66"/>
      <c r="K83" s="66"/>
      <c r="L83" s="66"/>
      <c r="M83" s="66"/>
      <c r="N83" s="66"/>
      <c r="Q83" s="21"/>
      <c r="R83" s="21"/>
      <c r="S83" s="21"/>
      <c r="T83" s="21"/>
      <c r="U83" s="5"/>
      <c r="V83" s="25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</row>
    <row r="84" spans="1:46" ht="320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66"/>
      <c r="F84" s="66"/>
      <c r="G84" s="66"/>
      <c r="H84" s="66"/>
      <c r="I84" s="66"/>
      <c r="J84" s="66"/>
      <c r="K84" s="66"/>
      <c r="L84" s="66"/>
      <c r="M84" s="66"/>
      <c r="N84" s="66"/>
      <c r="Q84" s="21"/>
      <c r="R84" s="21"/>
      <c r="S84" s="21"/>
      <c r="T84" s="21"/>
      <c r="U84" s="5"/>
      <c r="V84" s="25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</row>
    <row r="85" spans="1:46" ht="320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66"/>
      <c r="F85" s="66"/>
      <c r="G85" s="66"/>
      <c r="H85" s="66"/>
      <c r="I85" s="66"/>
      <c r="J85" s="66"/>
      <c r="K85" s="66"/>
      <c r="L85" s="66"/>
      <c r="M85" s="66"/>
      <c r="N85" s="66"/>
      <c r="Q85" s="21"/>
      <c r="R85" s="21"/>
      <c r="S85" s="21"/>
      <c r="T85" s="21"/>
      <c r="U85" s="5"/>
      <c r="V85" s="25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</row>
    <row r="86" spans="1:46" ht="320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66"/>
      <c r="F86" s="66"/>
      <c r="G86" s="66"/>
      <c r="H86" s="66"/>
      <c r="I86" s="66"/>
      <c r="J86" s="66"/>
      <c r="K86" s="66"/>
      <c r="L86" s="66"/>
      <c r="M86" s="66"/>
      <c r="N86" s="66"/>
      <c r="Q86" s="21"/>
      <c r="R86" s="21"/>
      <c r="S86" s="21"/>
      <c r="T86" s="21"/>
      <c r="U86" s="5"/>
      <c r="V86" s="25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</row>
    <row r="87" spans="1:46" ht="128" x14ac:dyDescent="0.2">
      <c r="A87" s="14" t="s">
        <v>180</v>
      </c>
      <c r="B87" s="10" t="s">
        <v>181</v>
      </c>
      <c r="C87" s="10"/>
      <c r="D87" s="11">
        <v>0.75</v>
      </c>
      <c r="E87" s="66"/>
      <c r="F87" s="66"/>
      <c r="G87" s="66"/>
      <c r="H87" s="66"/>
      <c r="I87" s="66"/>
      <c r="J87" s="66"/>
      <c r="K87" s="66"/>
      <c r="L87" s="66"/>
      <c r="M87" s="66"/>
      <c r="N87" s="66"/>
      <c r="U87" s="5"/>
      <c r="V87" s="25"/>
    </row>
    <row r="88" spans="1:46" ht="128" x14ac:dyDescent="0.2">
      <c r="A88" s="14" t="s">
        <v>182</v>
      </c>
      <c r="B88" s="10" t="s">
        <v>183</v>
      </c>
      <c r="C88" s="10"/>
      <c r="D88" s="11">
        <v>0.75</v>
      </c>
      <c r="E88" s="66"/>
      <c r="F88" s="66"/>
      <c r="G88" s="66"/>
      <c r="H88" s="66"/>
      <c r="I88" s="66"/>
      <c r="J88" s="66"/>
      <c r="K88" s="66"/>
      <c r="L88" s="66"/>
      <c r="M88" s="66"/>
      <c r="N88" s="66"/>
      <c r="U88" s="5"/>
      <c r="V88" s="25"/>
    </row>
    <row r="89" spans="1:46" ht="128" x14ac:dyDescent="0.2">
      <c r="A89" s="14" t="s">
        <v>184</v>
      </c>
      <c r="B89" s="10" t="s">
        <v>185</v>
      </c>
      <c r="C89" s="10"/>
      <c r="D89" s="11">
        <v>0.75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U89" s="5"/>
      <c r="V89" s="25"/>
    </row>
    <row r="90" spans="1:46" ht="128" x14ac:dyDescent="0.2">
      <c r="A90" s="14" t="s">
        <v>186</v>
      </c>
      <c r="B90" s="14" t="s">
        <v>256</v>
      </c>
      <c r="C90" s="10"/>
      <c r="D90" s="11">
        <v>0.75</v>
      </c>
      <c r="E90" s="66"/>
      <c r="F90" s="66"/>
      <c r="G90" s="66"/>
      <c r="H90" s="66"/>
      <c r="I90" s="66"/>
      <c r="J90" s="66"/>
      <c r="K90" s="66"/>
      <c r="L90" s="66"/>
      <c r="M90" s="66"/>
      <c r="N90" s="66"/>
      <c r="U90" s="5"/>
      <c r="V90" s="25"/>
    </row>
  </sheetData>
  <mergeCells count="1">
    <mergeCell ref="O2:P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AE3E-B8DE-3044-B028-7454AFEBBA1E}">
  <dimension ref="A1:AT90"/>
  <sheetViews>
    <sheetView zoomScale="75" zoomScaleNormal="75" workbookViewId="0">
      <selection activeCell="O4" sqref="O4"/>
    </sheetView>
  </sheetViews>
  <sheetFormatPr baseColWidth="10" defaultRowHeight="31" x14ac:dyDescent="0.35"/>
  <cols>
    <col min="1" max="1" width="52.5" customWidth="1"/>
    <col min="2" max="2" width="59" customWidth="1"/>
    <col min="3" max="3" width="44.83203125" customWidth="1"/>
    <col min="4" max="4" width="44" customWidth="1"/>
    <col min="5" max="5" width="68.33203125" hidden="1" customWidth="1"/>
    <col min="6" max="6" width="12.6640625" hidden="1" customWidth="1"/>
    <col min="7" max="7" width="0.1640625" hidden="1" customWidth="1"/>
    <col min="8" max="9" width="68.33203125" hidden="1" customWidth="1"/>
    <col min="10" max="10" width="58.6640625" hidden="1" customWidth="1"/>
    <col min="11" max="14" width="0.1640625" hidden="1" customWidth="1"/>
    <col min="15" max="15" width="49.5" style="61" customWidth="1"/>
    <col min="16" max="16" width="41.6640625" style="61" customWidth="1"/>
  </cols>
  <sheetData>
    <row r="1" spans="1:16" ht="64" x14ac:dyDescent="0.35">
      <c r="A1" s="2" t="s">
        <v>88</v>
      </c>
      <c r="B1" s="2" t="s">
        <v>89</v>
      </c>
      <c r="C1" s="3" t="s">
        <v>86</v>
      </c>
      <c r="D1" s="3" t="s">
        <v>87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x14ac:dyDescent="0.35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80" t="s">
        <v>153</v>
      </c>
      <c r="P2" s="80"/>
    </row>
    <row r="3" spans="1:16" x14ac:dyDescent="0.3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1" t="s">
        <v>222</v>
      </c>
      <c r="P3" s="61" t="s">
        <v>223</v>
      </c>
    </row>
    <row r="4" spans="1:16" ht="64" x14ac:dyDescent="0.35">
      <c r="A4" s="9" t="s">
        <v>108</v>
      </c>
      <c r="B4" s="9" t="s">
        <v>42</v>
      </c>
      <c r="C4" s="10"/>
      <c r="D4" s="11">
        <v>3.2071200000000002</v>
      </c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6" ht="64" x14ac:dyDescent="0.35">
      <c r="A5" s="9" t="s">
        <v>109</v>
      </c>
      <c r="B5" s="9" t="s">
        <v>43</v>
      </c>
      <c r="C5" s="10"/>
      <c r="D5" s="11">
        <v>4.1087199999999999</v>
      </c>
      <c r="E5" s="66"/>
      <c r="F5" s="66"/>
      <c r="G5" s="66"/>
      <c r="H5" s="66"/>
      <c r="I5" s="66"/>
      <c r="J5" s="66"/>
      <c r="K5" s="66"/>
      <c r="L5" s="66"/>
      <c r="M5" s="66"/>
      <c r="N5" s="66"/>
    </row>
    <row r="6" spans="1:16" ht="64" x14ac:dyDescent="0.35">
      <c r="A6" s="9" t="s">
        <v>110</v>
      </c>
      <c r="B6" s="9" t="s">
        <v>44</v>
      </c>
      <c r="C6" s="10"/>
      <c r="D6" s="11">
        <v>3.47</v>
      </c>
      <c r="E6" s="66"/>
      <c r="F6" s="66"/>
      <c r="G6" s="66"/>
      <c r="H6" s="66"/>
      <c r="I6" s="66"/>
      <c r="J6" s="66"/>
      <c r="K6" s="66"/>
      <c r="L6" s="66"/>
      <c r="M6" s="66"/>
      <c r="N6" s="66"/>
    </row>
    <row r="7" spans="1:16" ht="64" x14ac:dyDescent="0.35">
      <c r="A7" s="9" t="s">
        <v>111</v>
      </c>
      <c r="B7" s="9" t="s">
        <v>45</v>
      </c>
      <c r="C7" s="10"/>
      <c r="D7" s="11">
        <v>4.2699999999999996</v>
      </c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1:16" ht="64" x14ac:dyDescent="0.35">
      <c r="A8" s="9" t="s">
        <v>112</v>
      </c>
      <c r="B8" s="9" t="s">
        <v>46</v>
      </c>
      <c r="C8" s="10"/>
      <c r="D8" s="11">
        <v>6.23</v>
      </c>
      <c r="E8" s="66"/>
      <c r="F8" s="66"/>
      <c r="G8" s="66"/>
      <c r="H8" s="66"/>
      <c r="I8" s="66"/>
      <c r="J8" s="66"/>
      <c r="K8" s="66"/>
      <c r="L8" s="66"/>
      <c r="M8" s="66"/>
      <c r="N8" s="66"/>
    </row>
    <row r="9" spans="1:16" ht="64" x14ac:dyDescent="0.35">
      <c r="A9" s="9" t="s">
        <v>113</v>
      </c>
      <c r="B9" s="9" t="s">
        <v>47</v>
      </c>
      <c r="C9" s="10"/>
      <c r="D9" s="11">
        <v>7.6579999999999995</v>
      </c>
      <c r="E9" s="66"/>
      <c r="F9" s="66"/>
      <c r="G9" s="66"/>
      <c r="H9" s="66"/>
      <c r="I9" s="66"/>
      <c r="J9" s="66"/>
      <c r="K9" s="66"/>
      <c r="L9" s="66"/>
      <c r="M9" s="66"/>
      <c r="N9" s="66"/>
    </row>
    <row r="10" spans="1:16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</row>
    <row r="11" spans="1:16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</row>
    <row r="12" spans="1:16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</row>
    <row r="13" spans="1:16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</row>
    <row r="14" spans="1:16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6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</row>
    <row r="16" spans="1:16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</row>
    <row r="17" spans="1:46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</row>
    <row r="18" spans="1:46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</row>
    <row r="19" spans="1:46" ht="83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</row>
    <row r="20" spans="1:46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</row>
    <row r="21" spans="1:46" ht="96" x14ac:dyDescent="0.2">
      <c r="A21" s="9" t="s">
        <v>5</v>
      </c>
      <c r="B21" s="9" t="s">
        <v>53</v>
      </c>
      <c r="C21" s="10" t="s">
        <v>90</v>
      </c>
      <c r="D21" s="11">
        <v>5.3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spans="1:46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46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</row>
    <row r="24" spans="1:46" ht="64" x14ac:dyDescent="0.2">
      <c r="A24" s="9" t="s">
        <v>162</v>
      </c>
      <c r="B24" s="9" t="s">
        <v>163</v>
      </c>
      <c r="C24" s="10"/>
      <c r="D24" s="11">
        <v>0.24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</row>
    <row r="25" spans="1:46" ht="64" x14ac:dyDescent="0.2">
      <c r="A25" s="9" t="s">
        <v>164</v>
      </c>
      <c r="B25" s="9" t="s">
        <v>165</v>
      </c>
      <c r="C25" s="10"/>
      <c r="D25" s="11">
        <v>0.17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</row>
    <row r="26" spans="1:46" ht="96" x14ac:dyDescent="0.2">
      <c r="A26" s="14" t="s">
        <v>166</v>
      </c>
      <c r="B26" s="14" t="s">
        <v>167</v>
      </c>
      <c r="C26" s="10"/>
      <c r="D26" s="11">
        <v>7.2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</row>
    <row r="27" spans="1:46" ht="96" x14ac:dyDescent="0.2">
      <c r="A27" s="78" t="s">
        <v>316</v>
      </c>
      <c r="B27" s="14" t="s">
        <v>169</v>
      </c>
      <c r="C27" s="10"/>
      <c r="D27" s="11">
        <v>7.2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</row>
    <row r="28" spans="1:46" ht="96" x14ac:dyDescent="0.2">
      <c r="A28" s="78" t="s">
        <v>314</v>
      </c>
      <c r="B28" s="14" t="s">
        <v>315</v>
      </c>
      <c r="C28" s="10"/>
      <c r="D28" s="11">
        <v>7.2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</row>
    <row r="29" spans="1:46" ht="145" customHeight="1" x14ac:dyDescent="0.2">
      <c r="A29" s="14" t="s">
        <v>170</v>
      </c>
      <c r="B29" s="14" t="s">
        <v>171</v>
      </c>
      <c r="C29" s="10"/>
      <c r="D29" s="11">
        <v>7.2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</row>
    <row r="30" spans="1:46" ht="145" customHeight="1" x14ac:dyDescent="0.2">
      <c r="A30" s="78" t="s">
        <v>312</v>
      </c>
      <c r="B30" s="14" t="s">
        <v>173</v>
      </c>
      <c r="C30" s="10"/>
      <c r="D30" s="11">
        <v>7.2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</row>
    <row r="31" spans="1:46" ht="134" customHeight="1" x14ac:dyDescent="0.2">
      <c r="A31" s="14" t="s">
        <v>172</v>
      </c>
      <c r="B31" s="14" t="s">
        <v>173</v>
      </c>
      <c r="C31" s="10"/>
      <c r="D31" s="11">
        <v>7.2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</row>
    <row r="32" spans="1:46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</row>
    <row r="33" spans="1:14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</row>
    <row r="34" spans="1:14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</row>
    <row r="35" spans="1:14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</row>
    <row r="36" spans="1:14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</row>
    <row r="37" spans="1:14" ht="96" x14ac:dyDescent="0.2">
      <c r="A37" s="9" t="s">
        <v>143</v>
      </c>
      <c r="B37" s="9" t="s">
        <v>152</v>
      </c>
      <c r="C37" s="10" t="s">
        <v>9</v>
      </c>
      <c r="D37" s="11">
        <v>6.6220000000000008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</row>
    <row r="38" spans="1:14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1:14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</row>
    <row r="40" spans="1:14" ht="64" x14ac:dyDescent="0.2">
      <c r="A40" s="9" t="s">
        <v>117</v>
      </c>
      <c r="B40" s="9" t="s">
        <v>98</v>
      </c>
      <c r="C40" s="10" t="s">
        <v>9</v>
      </c>
      <c r="D40" s="11">
        <v>7.22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</row>
    <row r="41" spans="1:14" ht="96" x14ac:dyDescent="0.2">
      <c r="A41" s="9" t="s">
        <v>11</v>
      </c>
      <c r="B41" s="9" t="s">
        <v>57</v>
      </c>
      <c r="C41" s="10" t="s">
        <v>9</v>
      </c>
      <c r="D41" s="11">
        <v>5.16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</row>
    <row r="42" spans="1:14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</row>
    <row r="43" spans="1:14" ht="64" x14ac:dyDescent="0.2">
      <c r="A43" s="9" t="s">
        <v>115</v>
      </c>
      <c r="B43" s="9" t="s">
        <v>58</v>
      </c>
      <c r="C43" s="10" t="s">
        <v>9</v>
      </c>
      <c r="D43" s="11">
        <v>7.22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</row>
    <row r="44" spans="1:14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</row>
    <row r="45" spans="1:14" ht="96" x14ac:dyDescent="0.2">
      <c r="A45" s="9" t="s">
        <v>13</v>
      </c>
      <c r="B45" s="9" t="s">
        <v>60</v>
      </c>
      <c r="C45" s="10"/>
      <c r="D45" s="11">
        <v>0.73</v>
      </c>
      <c r="E45" s="66"/>
      <c r="F45" s="66"/>
      <c r="G45" s="66"/>
      <c r="H45" s="66"/>
      <c r="I45" s="66"/>
      <c r="J45" s="66"/>
      <c r="K45" s="66"/>
      <c r="L45" s="66"/>
      <c r="M45" s="66"/>
      <c r="N45" s="66"/>
    </row>
    <row r="46" spans="1:14" ht="96" x14ac:dyDescent="0.2">
      <c r="A46" s="9" t="s">
        <v>135</v>
      </c>
      <c r="B46" s="9" t="s">
        <v>134</v>
      </c>
      <c r="C46" s="10"/>
      <c r="D46" s="11">
        <v>0.73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</row>
    <row r="47" spans="1:14" ht="96" x14ac:dyDescent="0.2">
      <c r="A47" s="14" t="s">
        <v>14</v>
      </c>
      <c r="B47" s="14" t="s">
        <v>61</v>
      </c>
      <c r="C47" s="10"/>
      <c r="D47" s="11">
        <v>1.8620000000000001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</row>
    <row r="48" spans="1:14" ht="64" x14ac:dyDescent="0.2">
      <c r="A48" s="14" t="s">
        <v>15</v>
      </c>
      <c r="B48" s="14" t="s">
        <v>62</v>
      </c>
      <c r="C48" s="10"/>
      <c r="D48" s="11">
        <v>0.96600000000000008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</row>
    <row r="49" spans="1:46" ht="64" x14ac:dyDescent="0.2">
      <c r="A49" s="14" t="s">
        <v>16</v>
      </c>
      <c r="B49" s="14" t="s">
        <v>63</v>
      </c>
      <c r="C49" s="10"/>
      <c r="D49" s="11">
        <v>0.83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</row>
    <row r="50" spans="1:46" ht="32" x14ac:dyDescent="0.2">
      <c r="A50" s="14" t="s">
        <v>17</v>
      </c>
      <c r="B50" s="14" t="s">
        <v>64</v>
      </c>
      <c r="C50" s="10"/>
      <c r="D50" s="11">
        <v>10.497199999999999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</row>
    <row r="51" spans="1:46" ht="47" x14ac:dyDescent="0.2">
      <c r="A51" s="14" t="s">
        <v>174</v>
      </c>
      <c r="B51" s="14" t="s">
        <v>190</v>
      </c>
      <c r="C51" s="10"/>
      <c r="D51" s="11">
        <v>8.6295999999999999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</row>
    <row r="52" spans="1:46" ht="47" x14ac:dyDescent="0.2">
      <c r="A52" s="14" t="s">
        <v>175</v>
      </c>
      <c r="B52" s="14" t="s">
        <v>191</v>
      </c>
      <c r="C52" s="10"/>
      <c r="D52" s="11">
        <v>6.78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</row>
    <row r="53" spans="1:46" ht="32" x14ac:dyDescent="0.2">
      <c r="A53" s="14" t="s">
        <v>18</v>
      </c>
      <c r="B53" s="14" t="s">
        <v>65</v>
      </c>
      <c r="C53" s="10"/>
      <c r="D53" s="11">
        <v>6.78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</row>
    <row r="54" spans="1:46" ht="32" x14ac:dyDescent="0.2">
      <c r="A54" s="14" t="s">
        <v>19</v>
      </c>
      <c r="B54" s="14" t="s">
        <v>66</v>
      </c>
      <c r="C54" s="10"/>
      <c r="D54" s="11">
        <v>2.6661599999999996</v>
      </c>
      <c r="E54" s="66"/>
      <c r="F54" s="66"/>
      <c r="G54" s="66"/>
      <c r="H54" s="66"/>
      <c r="I54" s="66"/>
      <c r="J54" s="66"/>
      <c r="K54" s="66"/>
      <c r="L54" s="66"/>
      <c r="M54" s="66"/>
      <c r="N54" s="66"/>
    </row>
    <row r="55" spans="1:46" ht="32" x14ac:dyDescent="0.2">
      <c r="A55" s="14" t="s">
        <v>20</v>
      </c>
      <c r="B55" s="14" t="s">
        <v>67</v>
      </c>
      <c r="C55" s="10"/>
      <c r="D55" s="11">
        <v>3.4389599999999998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</row>
    <row r="56" spans="1:46" ht="32" x14ac:dyDescent="0.2">
      <c r="A56" s="14" t="s">
        <v>21</v>
      </c>
      <c r="B56" s="14" t="s">
        <v>131</v>
      </c>
      <c r="C56" s="10"/>
      <c r="D56" s="11">
        <v>3.4389599999999998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</row>
    <row r="57" spans="1:46" ht="64" x14ac:dyDescent="0.2">
      <c r="A57" s="14" t="s">
        <v>22</v>
      </c>
      <c r="B57" s="14" t="s">
        <v>70</v>
      </c>
      <c r="C57" s="10"/>
      <c r="D57" s="11">
        <v>0.15512465373961221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</row>
    <row r="58" spans="1:46" ht="64" x14ac:dyDescent="0.2">
      <c r="A58" s="14" t="s">
        <v>23</v>
      </c>
      <c r="B58" s="14" t="s">
        <v>69</v>
      </c>
      <c r="C58" s="10"/>
      <c r="D58" s="11">
        <v>0.27922437673130196</v>
      </c>
      <c r="E58" s="66"/>
      <c r="F58" s="66"/>
      <c r="G58" s="66"/>
      <c r="H58" s="66"/>
      <c r="I58" s="66"/>
      <c r="J58" s="66"/>
      <c r="K58" s="66"/>
      <c r="L58" s="66"/>
      <c r="M58" s="66"/>
      <c r="N58" s="66"/>
    </row>
    <row r="59" spans="1:46" ht="64" x14ac:dyDescent="0.2">
      <c r="A59" s="14" t="s">
        <v>24</v>
      </c>
      <c r="B59" s="14" t="s">
        <v>68</v>
      </c>
      <c r="C59" s="10"/>
      <c r="D59" s="11">
        <v>0.12409972299168978</v>
      </c>
      <c r="E59" s="66"/>
      <c r="F59" s="66"/>
      <c r="G59" s="66"/>
      <c r="H59" s="66"/>
      <c r="I59" s="66"/>
      <c r="J59" s="66"/>
      <c r="K59" s="66"/>
      <c r="L59" s="66"/>
      <c r="M59" s="66"/>
      <c r="N59" s="66"/>
    </row>
    <row r="60" spans="1:46" ht="64" x14ac:dyDescent="0.2">
      <c r="A60" s="14" t="s">
        <v>25</v>
      </c>
      <c r="B60" s="14" t="s">
        <v>71</v>
      </c>
      <c r="C60" s="10"/>
      <c r="D60" s="11">
        <v>3.1024930747922445E-2</v>
      </c>
      <c r="E60" s="66"/>
      <c r="F60" s="66"/>
      <c r="G60" s="66"/>
      <c r="H60" s="66"/>
      <c r="I60" s="66"/>
      <c r="J60" s="66"/>
      <c r="K60" s="66"/>
      <c r="L60" s="66"/>
      <c r="M60" s="66"/>
      <c r="N60" s="66"/>
    </row>
    <row r="61" spans="1:46" ht="64" x14ac:dyDescent="0.2">
      <c r="A61" s="14" t="s">
        <v>26</v>
      </c>
      <c r="B61" s="14" t="s">
        <v>72</v>
      </c>
      <c r="C61" s="10"/>
      <c r="D61" s="11">
        <v>3.49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</row>
    <row r="62" spans="1:46" ht="192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66"/>
      <c r="F62" s="66"/>
      <c r="G62" s="66"/>
      <c r="H62" s="66"/>
      <c r="I62" s="66"/>
      <c r="J62" s="66"/>
      <c r="K62" s="66"/>
      <c r="L62" s="66"/>
      <c r="M62" s="66"/>
      <c r="N62" s="66"/>
    </row>
    <row r="63" spans="1:46" ht="192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</row>
    <row r="64" spans="1:46" ht="64" x14ac:dyDescent="0.2">
      <c r="A64" s="14" t="s">
        <v>29</v>
      </c>
      <c r="B64" s="14" t="s">
        <v>75</v>
      </c>
      <c r="C64" s="10"/>
      <c r="D64" s="11">
        <v>1.1399999999999999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</row>
    <row r="65" spans="1:46" ht="64" x14ac:dyDescent="0.2">
      <c r="A65" s="14" t="s">
        <v>30</v>
      </c>
      <c r="B65" s="14" t="s">
        <v>76</v>
      </c>
      <c r="C65" s="10"/>
      <c r="D65" s="11">
        <v>1.22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</row>
    <row r="66" spans="1:46" ht="64" x14ac:dyDescent="0.2">
      <c r="A66" s="14" t="s">
        <v>31</v>
      </c>
      <c r="B66" s="14" t="s">
        <v>259</v>
      </c>
      <c r="C66" s="10"/>
      <c r="D66" s="11">
        <v>2.15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</row>
    <row r="67" spans="1:46" ht="96" x14ac:dyDescent="0.2">
      <c r="A67" s="14" t="s">
        <v>32</v>
      </c>
      <c r="B67" s="14" t="s">
        <v>77</v>
      </c>
      <c r="C67" s="10"/>
      <c r="D67" s="11">
        <v>5.5579999999999998</v>
      </c>
      <c r="E67" s="66"/>
      <c r="F67" s="66"/>
      <c r="G67" s="66"/>
      <c r="H67" s="66"/>
      <c r="I67" s="66"/>
      <c r="J67" s="66"/>
      <c r="K67" s="66"/>
      <c r="L67" s="66"/>
      <c r="M67" s="66"/>
      <c r="N67" s="66"/>
    </row>
    <row r="68" spans="1:46" ht="96" x14ac:dyDescent="0.2">
      <c r="A68" s="14" t="s">
        <v>33</v>
      </c>
      <c r="B68" s="14" t="s">
        <v>78</v>
      </c>
      <c r="C68" s="10"/>
      <c r="D68" s="11">
        <v>5.5579999999999998</v>
      </c>
      <c r="E68" s="66"/>
      <c r="F68" s="66"/>
      <c r="G68" s="66"/>
      <c r="H68" s="66"/>
      <c r="I68" s="66"/>
      <c r="J68" s="66"/>
      <c r="K68" s="66"/>
      <c r="L68" s="66"/>
      <c r="M68" s="66"/>
      <c r="N68" s="66"/>
    </row>
    <row r="69" spans="1:46" ht="96" x14ac:dyDescent="0.2">
      <c r="A69" s="14" t="s">
        <v>176</v>
      </c>
      <c r="B69" s="14" t="s">
        <v>192</v>
      </c>
      <c r="C69" s="10"/>
      <c r="D69" s="11">
        <v>5.5579999999999998</v>
      </c>
      <c r="E69" s="66"/>
      <c r="F69" s="66"/>
      <c r="G69" s="66"/>
      <c r="H69" s="66"/>
      <c r="I69" s="66"/>
      <c r="J69" s="66"/>
      <c r="K69" s="66"/>
      <c r="L69" s="66"/>
      <c r="M69" s="66"/>
      <c r="N69" s="66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</row>
    <row r="70" spans="1:46" ht="96" x14ac:dyDescent="0.2">
      <c r="A70" s="14" t="s">
        <v>177</v>
      </c>
      <c r="B70" s="14" t="s">
        <v>193</v>
      </c>
      <c r="C70" s="10"/>
      <c r="D70" s="11">
        <v>5.5579999999999998</v>
      </c>
      <c r="E70" s="66"/>
      <c r="F70" s="66"/>
      <c r="G70" s="66"/>
      <c r="H70" s="66"/>
      <c r="I70" s="66"/>
      <c r="J70" s="66"/>
      <c r="K70" s="66"/>
      <c r="L70" s="66"/>
      <c r="M70" s="66"/>
      <c r="N70" s="66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</row>
    <row r="71" spans="1:46" ht="96" x14ac:dyDescent="0.2">
      <c r="A71" s="14" t="s">
        <v>178</v>
      </c>
      <c r="B71" s="14" t="s">
        <v>194</v>
      </c>
      <c r="C71" s="10"/>
      <c r="D71" s="11">
        <v>5.5579999999999998</v>
      </c>
      <c r="E71" s="66"/>
      <c r="F71" s="66"/>
      <c r="G71" s="66"/>
      <c r="H71" s="66"/>
      <c r="I71" s="66"/>
      <c r="J71" s="66"/>
      <c r="K71" s="66"/>
      <c r="L71" s="66"/>
      <c r="M71" s="66"/>
      <c r="N71" s="66"/>
    </row>
    <row r="72" spans="1:46" ht="96" x14ac:dyDescent="0.2">
      <c r="A72" s="14" t="s">
        <v>179</v>
      </c>
      <c r="B72" s="14" t="s">
        <v>195</v>
      </c>
      <c r="C72" s="10"/>
      <c r="D72" s="11">
        <v>5.5579999999999998</v>
      </c>
      <c r="E72" s="66"/>
      <c r="F72" s="66"/>
      <c r="G72" s="66"/>
      <c r="H72" s="66"/>
      <c r="I72" s="66"/>
      <c r="J72" s="66"/>
      <c r="K72" s="66"/>
      <c r="L72" s="66"/>
      <c r="M72" s="66"/>
      <c r="N72" s="66"/>
    </row>
    <row r="73" spans="1:46" ht="96" x14ac:dyDescent="0.2">
      <c r="A73" s="14" t="s">
        <v>34</v>
      </c>
      <c r="B73" s="14" t="s">
        <v>79</v>
      </c>
      <c r="C73" s="10"/>
      <c r="D73" s="11">
        <v>3.3879999999999999</v>
      </c>
      <c r="E73" s="66"/>
      <c r="F73" s="66"/>
      <c r="G73" s="66"/>
      <c r="H73" s="66"/>
      <c r="I73" s="66"/>
      <c r="J73" s="66"/>
      <c r="K73" s="66"/>
      <c r="L73" s="66"/>
      <c r="M73" s="66"/>
      <c r="N73" s="66"/>
    </row>
    <row r="74" spans="1:46" ht="96" x14ac:dyDescent="0.2">
      <c r="A74" s="14" t="s">
        <v>35</v>
      </c>
      <c r="B74" s="14" t="s">
        <v>80</v>
      </c>
      <c r="C74" s="10"/>
      <c r="D74" s="11">
        <v>3.3879999999999999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</row>
    <row r="75" spans="1:46" ht="64" x14ac:dyDescent="0.2">
      <c r="A75" s="14" t="s">
        <v>36</v>
      </c>
      <c r="B75" s="14" t="s">
        <v>81</v>
      </c>
      <c r="C75" s="10"/>
      <c r="D75" s="11">
        <v>2.1280000000000001</v>
      </c>
      <c r="E75" s="66"/>
      <c r="F75" s="66"/>
      <c r="G75" s="66"/>
      <c r="H75" s="66"/>
      <c r="I75" s="66"/>
      <c r="J75" s="66"/>
      <c r="K75" s="66"/>
      <c r="L75" s="66"/>
      <c r="M75" s="66"/>
      <c r="N75" s="66"/>
    </row>
    <row r="76" spans="1:46" ht="64" x14ac:dyDescent="0.2">
      <c r="A76" s="14" t="s">
        <v>37</v>
      </c>
      <c r="B76" s="14" t="s">
        <v>82</v>
      </c>
      <c r="C76" s="10"/>
      <c r="D76" s="11">
        <v>2.702</v>
      </c>
      <c r="E76" s="66"/>
      <c r="F76" s="66"/>
      <c r="G76" s="66"/>
      <c r="H76" s="66"/>
      <c r="I76" s="66"/>
      <c r="J76" s="66"/>
      <c r="K76" s="66"/>
      <c r="L76" s="66"/>
      <c r="M76" s="66"/>
      <c r="N76" s="66"/>
    </row>
    <row r="77" spans="1:46" ht="96" x14ac:dyDescent="0.2">
      <c r="A77" s="14" t="s">
        <v>38</v>
      </c>
      <c r="B77" s="14" t="s">
        <v>83</v>
      </c>
      <c r="C77" s="10"/>
      <c r="D77" s="11">
        <v>0.68599999999999994</v>
      </c>
      <c r="E77" s="66"/>
      <c r="F77" s="66"/>
      <c r="G77" s="66"/>
      <c r="H77" s="66"/>
      <c r="I77" s="66"/>
      <c r="J77" s="66"/>
      <c r="K77" s="66"/>
      <c r="L77" s="66"/>
      <c r="M77" s="66"/>
      <c r="N77" s="66"/>
    </row>
    <row r="78" spans="1:46" ht="96" x14ac:dyDescent="0.2">
      <c r="A78" s="14" t="s">
        <v>39</v>
      </c>
      <c r="B78" s="14" t="s">
        <v>84</v>
      </c>
      <c r="C78" s="10"/>
      <c r="D78" s="11">
        <v>0.68599999999999994</v>
      </c>
      <c r="E78" s="66"/>
      <c r="F78" s="66"/>
      <c r="G78" s="66"/>
      <c r="H78" s="66"/>
      <c r="I78" s="66"/>
      <c r="J78" s="66"/>
      <c r="K78" s="66"/>
      <c r="L78" s="66"/>
      <c r="M78" s="66"/>
      <c r="N78" s="66"/>
    </row>
    <row r="79" spans="1:46" ht="96" x14ac:dyDescent="0.2">
      <c r="A79" s="14" t="s">
        <v>40</v>
      </c>
      <c r="B79" s="14" t="s">
        <v>85</v>
      </c>
      <c r="C79" s="10"/>
      <c r="D79" s="11">
        <v>0.98</v>
      </c>
      <c r="E79" s="66"/>
      <c r="F79" s="66"/>
      <c r="G79" s="66"/>
      <c r="H79" s="66"/>
      <c r="I79" s="66"/>
      <c r="J79" s="66"/>
      <c r="K79" s="66"/>
      <c r="L79" s="66"/>
      <c r="M79" s="66"/>
      <c r="N79" s="66"/>
    </row>
    <row r="80" spans="1:46" ht="96" x14ac:dyDescent="0.2">
      <c r="A80" s="14" t="s">
        <v>41</v>
      </c>
      <c r="B80" s="15" t="s">
        <v>254</v>
      </c>
      <c r="C80" s="16"/>
      <c r="D80" s="11">
        <v>0.98</v>
      </c>
      <c r="E80" s="66"/>
      <c r="F80" s="66"/>
      <c r="G80" s="66"/>
      <c r="H80" s="66"/>
      <c r="I80" s="66"/>
      <c r="J80" s="66"/>
      <c r="K80" s="66"/>
      <c r="L80" s="66"/>
      <c r="M80" s="66"/>
      <c r="N80" s="66"/>
    </row>
    <row r="81" spans="1:46" ht="96" x14ac:dyDescent="0.2">
      <c r="A81" s="14" t="s">
        <v>136</v>
      </c>
      <c r="B81" s="14" t="s">
        <v>132</v>
      </c>
      <c r="C81" s="10"/>
      <c r="D81" s="11">
        <v>0.98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</row>
    <row r="82" spans="1:46" ht="96" x14ac:dyDescent="0.2">
      <c r="A82" s="14" t="s">
        <v>137</v>
      </c>
      <c r="B82" s="14" t="s">
        <v>133</v>
      </c>
      <c r="C82" s="10"/>
      <c r="D82" s="11">
        <v>0.68599999999999994</v>
      </c>
      <c r="E82" s="66"/>
      <c r="F82" s="66"/>
      <c r="G82" s="66"/>
      <c r="H82" s="66"/>
      <c r="I82" s="66"/>
      <c r="J82" s="66"/>
      <c r="K82" s="66"/>
      <c r="L82" s="66"/>
      <c r="M82" s="66"/>
      <c r="N82" s="66"/>
    </row>
    <row r="83" spans="1:46" ht="128" x14ac:dyDescent="0.2">
      <c r="A83" s="10" t="s">
        <v>154</v>
      </c>
      <c r="B83" s="10" t="s">
        <v>155</v>
      </c>
      <c r="C83" s="10"/>
      <c r="D83" s="11">
        <v>19.137999999999998</v>
      </c>
      <c r="E83" s="66"/>
      <c r="F83" s="66"/>
      <c r="G83" s="66"/>
      <c r="H83" s="66"/>
      <c r="I83" s="66"/>
      <c r="J83" s="66"/>
      <c r="K83" s="66"/>
      <c r="L83" s="66"/>
      <c r="M83" s="66"/>
      <c r="N83" s="66"/>
      <c r="Q83" s="21"/>
      <c r="R83" s="21"/>
      <c r="S83" s="21"/>
      <c r="T83" s="21"/>
      <c r="U83" s="5"/>
      <c r="V83" s="25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</row>
    <row r="84" spans="1:46" ht="320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66"/>
      <c r="F84" s="66"/>
      <c r="G84" s="66"/>
      <c r="H84" s="66"/>
      <c r="I84" s="66"/>
      <c r="J84" s="66"/>
      <c r="K84" s="66"/>
      <c r="L84" s="66"/>
      <c r="M84" s="66"/>
      <c r="N84" s="66"/>
      <c r="Q84" s="21"/>
      <c r="R84" s="21"/>
      <c r="S84" s="21"/>
      <c r="T84" s="21"/>
      <c r="U84" s="5"/>
      <c r="V84" s="25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</row>
    <row r="85" spans="1:46" ht="320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66"/>
      <c r="F85" s="66"/>
      <c r="G85" s="66"/>
      <c r="H85" s="66"/>
      <c r="I85" s="66"/>
      <c r="J85" s="66"/>
      <c r="K85" s="66"/>
      <c r="L85" s="66"/>
      <c r="M85" s="66"/>
      <c r="N85" s="66"/>
      <c r="Q85" s="21"/>
      <c r="R85" s="21"/>
      <c r="S85" s="21"/>
      <c r="T85" s="21"/>
      <c r="U85" s="5"/>
      <c r="V85" s="25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</row>
    <row r="86" spans="1:46" ht="320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66"/>
      <c r="F86" s="66"/>
      <c r="G86" s="66"/>
      <c r="H86" s="66"/>
      <c r="I86" s="66"/>
      <c r="J86" s="66"/>
      <c r="K86" s="66"/>
      <c r="L86" s="66"/>
      <c r="M86" s="66"/>
      <c r="N86" s="66"/>
      <c r="Q86" s="21"/>
      <c r="R86" s="21"/>
      <c r="S86" s="21"/>
      <c r="T86" s="21"/>
      <c r="U86" s="5"/>
      <c r="V86" s="25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</row>
    <row r="87" spans="1:46" ht="128" x14ac:dyDescent="0.2">
      <c r="A87" s="14" t="s">
        <v>180</v>
      </c>
      <c r="B87" s="10" t="s">
        <v>181</v>
      </c>
      <c r="C87" s="10"/>
      <c r="D87" s="11">
        <v>0.75</v>
      </c>
      <c r="E87" s="66"/>
      <c r="F87" s="66"/>
      <c r="G87" s="66"/>
      <c r="H87" s="66"/>
      <c r="I87" s="66"/>
      <c r="J87" s="66"/>
      <c r="K87" s="66"/>
      <c r="L87" s="66"/>
      <c r="M87" s="66"/>
      <c r="N87" s="66"/>
      <c r="U87" s="5"/>
      <c r="V87" s="25"/>
    </row>
    <row r="88" spans="1:46" ht="128" x14ac:dyDescent="0.2">
      <c r="A88" s="14" t="s">
        <v>182</v>
      </c>
      <c r="B88" s="10" t="s">
        <v>183</v>
      </c>
      <c r="C88" s="10"/>
      <c r="D88" s="11">
        <v>0.75</v>
      </c>
      <c r="E88" s="66"/>
      <c r="F88" s="66"/>
      <c r="G88" s="66"/>
      <c r="H88" s="66"/>
      <c r="I88" s="66"/>
      <c r="J88" s="66"/>
      <c r="K88" s="66"/>
      <c r="L88" s="66"/>
      <c r="M88" s="66"/>
      <c r="N88" s="66"/>
      <c r="U88" s="5"/>
      <c r="V88" s="25"/>
    </row>
    <row r="89" spans="1:46" ht="128" x14ac:dyDescent="0.2">
      <c r="A89" s="14" t="s">
        <v>184</v>
      </c>
      <c r="B89" s="10" t="s">
        <v>185</v>
      </c>
      <c r="C89" s="10"/>
      <c r="D89" s="11">
        <v>0.75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U89" s="5"/>
      <c r="V89" s="25"/>
    </row>
    <row r="90" spans="1:46" ht="128" x14ac:dyDescent="0.2">
      <c r="A90" s="14" t="s">
        <v>186</v>
      </c>
      <c r="B90" s="14" t="s">
        <v>256</v>
      </c>
      <c r="C90" s="10"/>
      <c r="D90" s="11">
        <v>0.75</v>
      </c>
      <c r="E90" s="66"/>
      <c r="F90" s="66"/>
      <c r="G90" s="66"/>
      <c r="H90" s="66"/>
      <c r="I90" s="66"/>
      <c r="J90" s="66"/>
      <c r="K90" s="66"/>
      <c r="L90" s="66"/>
      <c r="M90" s="66"/>
      <c r="N90" s="66"/>
      <c r="U90" s="5"/>
      <c r="V90" s="25"/>
    </row>
  </sheetData>
  <mergeCells count="1">
    <mergeCell ref="O2:P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8199-0997-974A-83A8-F96B096B54FE}">
  <sheetPr>
    <tabColor theme="0"/>
  </sheetPr>
  <dimension ref="A1:AN92"/>
  <sheetViews>
    <sheetView zoomScale="40" zoomScaleNormal="40" workbookViewId="0">
      <selection activeCell="L3" sqref="L3"/>
    </sheetView>
  </sheetViews>
  <sheetFormatPr baseColWidth="10" defaultRowHeight="16" x14ac:dyDescent="0.2"/>
  <cols>
    <col min="1" max="1" width="40.6640625" customWidth="1"/>
    <col min="2" max="2" width="60.83203125" customWidth="1"/>
    <col min="3" max="3" width="39.5" customWidth="1"/>
    <col min="4" max="4" width="50.6640625" customWidth="1"/>
    <col min="5" max="5" width="43.1640625" style="55" customWidth="1"/>
    <col min="6" max="6" width="41.6640625" style="55" customWidth="1"/>
    <col min="7" max="7" width="34.83203125" style="55" customWidth="1"/>
    <col min="8" max="10" width="39.1640625" customWidth="1"/>
    <col min="11" max="11" width="36.6640625" customWidth="1"/>
    <col min="12" max="12" width="34.6640625" customWidth="1"/>
    <col min="13" max="14" width="1.6640625" customWidth="1"/>
    <col min="15" max="15" width="32.33203125" customWidth="1"/>
    <col min="16" max="16" width="45.83203125" customWidth="1"/>
  </cols>
  <sheetData>
    <row r="1" spans="1:16" s="1" customFormat="1" ht="188" customHeight="1" x14ac:dyDescent="0.35">
      <c r="A1" s="2" t="s">
        <v>88</v>
      </c>
      <c r="B1" s="2" t="s">
        <v>89</v>
      </c>
      <c r="C1" s="3" t="s">
        <v>86</v>
      </c>
      <c r="D1" s="3" t="s">
        <v>87</v>
      </c>
      <c r="E1" s="4" t="s">
        <v>205</v>
      </c>
      <c r="F1" s="4" t="s">
        <v>219</v>
      </c>
      <c r="G1" s="4" t="s">
        <v>206</v>
      </c>
      <c r="H1" s="4" t="s">
        <v>203</v>
      </c>
      <c r="I1" s="4" t="s">
        <v>325</v>
      </c>
      <c r="J1" s="4" t="s">
        <v>326</v>
      </c>
      <c r="K1" s="4" t="s">
        <v>220</v>
      </c>
      <c r="L1" s="4" t="s">
        <v>221</v>
      </c>
      <c r="M1" s="4"/>
      <c r="N1" s="4"/>
      <c r="O1" s="5"/>
    </row>
    <row r="2" spans="1:16" s="1" customFormat="1" ht="56" customHeight="1" x14ac:dyDescent="0.35">
      <c r="A2" s="2"/>
      <c r="B2" s="2"/>
      <c r="C2" s="3"/>
      <c r="D2" s="3"/>
      <c r="E2" s="54"/>
      <c r="F2" s="54"/>
      <c r="G2" s="54"/>
      <c r="H2" s="4"/>
      <c r="I2" s="4"/>
      <c r="J2" s="4"/>
      <c r="K2" s="4"/>
      <c r="L2" s="4"/>
      <c r="M2" s="4"/>
      <c r="N2" s="4"/>
      <c r="O2" s="5"/>
    </row>
    <row r="3" spans="1:16" s="24" customFormat="1" ht="77" customHeight="1" x14ac:dyDescent="0.2">
      <c r="A3" s="2"/>
      <c r="B3" s="2"/>
      <c r="C3" s="3"/>
      <c r="D3" s="3" t="s">
        <v>97</v>
      </c>
      <c r="E3" s="24">
        <v>0</v>
      </c>
      <c r="F3" s="24">
        <v>0</v>
      </c>
      <c r="G3" s="24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/>
      <c r="N3" s="7"/>
      <c r="O3" s="7" t="s">
        <v>114</v>
      </c>
      <c r="P3" s="24" t="s">
        <v>118</v>
      </c>
    </row>
    <row r="4" spans="1:16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E4" s="53"/>
      <c r="F4" s="53"/>
      <c r="G4" s="53">
        <f>4*G3</f>
        <v>0</v>
      </c>
      <c r="H4" s="5"/>
      <c r="I4" s="5"/>
      <c r="J4" s="5"/>
      <c r="K4" s="5"/>
      <c r="L4" s="5">
        <f>4*L3</f>
        <v>0</v>
      </c>
      <c r="M4" s="5"/>
      <c r="N4" s="5"/>
      <c r="O4" s="5">
        <f t="shared" ref="O4:O35" si="0">SUM(E4:L4)</f>
        <v>0</v>
      </c>
      <c r="P4" s="12">
        <f t="shared" ref="P4:P18" si="1">D4*O4</f>
        <v>0</v>
      </c>
    </row>
    <row r="5" spans="1:16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E5" s="53"/>
      <c r="F5" s="53"/>
      <c r="G5" s="53">
        <f>1*G3</f>
        <v>0</v>
      </c>
      <c r="H5" s="5"/>
      <c r="I5" s="5"/>
      <c r="J5" s="5"/>
      <c r="K5" s="5"/>
      <c r="L5" s="5">
        <f>1*L3</f>
        <v>0</v>
      </c>
      <c r="M5" s="5"/>
      <c r="N5" s="5"/>
      <c r="O5" s="5">
        <f t="shared" si="0"/>
        <v>0</v>
      </c>
      <c r="P5" s="12">
        <f t="shared" si="1"/>
        <v>0</v>
      </c>
    </row>
    <row r="6" spans="1:16" s="1" customFormat="1" ht="64" x14ac:dyDescent="0.35">
      <c r="A6" s="9" t="s">
        <v>110</v>
      </c>
      <c r="B6" s="9" t="s">
        <v>44</v>
      </c>
      <c r="C6" s="10"/>
      <c r="D6" s="11">
        <v>3.47</v>
      </c>
      <c r="E6" s="53">
        <f>4*E3</f>
        <v>0</v>
      </c>
      <c r="F6" s="53">
        <f>4*F3</f>
        <v>0</v>
      </c>
      <c r="G6" s="53"/>
      <c r="H6" s="13">
        <f>4*H3</f>
        <v>0</v>
      </c>
      <c r="I6" s="13">
        <f>4*I3</f>
        <v>0</v>
      </c>
      <c r="J6" s="13">
        <f>4*J3</f>
        <v>0</v>
      </c>
      <c r="K6" s="13">
        <f>4*K3</f>
        <v>0</v>
      </c>
      <c r="L6" s="5"/>
      <c r="M6" s="5"/>
      <c r="N6" s="5"/>
      <c r="O6" s="5">
        <f t="shared" si="0"/>
        <v>0</v>
      </c>
      <c r="P6" s="12">
        <f t="shared" si="1"/>
        <v>0</v>
      </c>
    </row>
    <row r="7" spans="1:16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53">
        <f>1*E3</f>
        <v>0</v>
      </c>
      <c r="F7" s="53">
        <f>1*F3</f>
        <v>0</v>
      </c>
      <c r="G7" s="53"/>
      <c r="H7" s="13">
        <f>1*H3</f>
        <v>0</v>
      </c>
      <c r="I7" s="13">
        <f>1*I3</f>
        <v>0</v>
      </c>
      <c r="J7" s="13">
        <f>1*J3</f>
        <v>0</v>
      </c>
      <c r="K7" s="13">
        <f>1*K3</f>
        <v>0</v>
      </c>
      <c r="L7" s="5"/>
      <c r="M7" s="5"/>
      <c r="N7" s="5"/>
      <c r="O7" s="5">
        <f t="shared" si="0"/>
        <v>0</v>
      </c>
      <c r="P7" s="12">
        <f t="shared" si="1"/>
        <v>0</v>
      </c>
    </row>
    <row r="8" spans="1:16" s="1" customFormat="1" ht="166" customHeight="1" x14ac:dyDescent="0.35">
      <c r="A8" s="9" t="s">
        <v>112</v>
      </c>
      <c r="B8" s="9" t="s">
        <v>46</v>
      </c>
      <c r="C8" s="10"/>
      <c r="D8" s="11">
        <v>6.23</v>
      </c>
      <c r="E8" s="53"/>
      <c r="F8" s="53"/>
      <c r="G8" s="53"/>
      <c r="H8" s="13"/>
      <c r="I8" s="13"/>
      <c r="J8" s="13"/>
      <c r="K8" s="5"/>
      <c r="L8" s="5"/>
      <c r="M8" s="5"/>
      <c r="N8" s="5"/>
      <c r="O8" s="5">
        <f t="shared" si="0"/>
        <v>0</v>
      </c>
      <c r="P8" s="12">
        <f t="shared" si="1"/>
        <v>0</v>
      </c>
    </row>
    <row r="9" spans="1:16" s="1" customFormat="1" ht="114" customHeight="1" x14ac:dyDescent="0.35">
      <c r="A9" s="9" t="s">
        <v>113</v>
      </c>
      <c r="B9" s="9" t="s">
        <v>47</v>
      </c>
      <c r="C9" s="10"/>
      <c r="D9" s="11">
        <v>7.6579999999999995</v>
      </c>
      <c r="E9" s="53"/>
      <c r="F9" s="53"/>
      <c r="G9" s="53"/>
      <c r="H9" s="13"/>
      <c r="I9" s="13"/>
      <c r="J9" s="13"/>
      <c r="K9" s="5"/>
      <c r="L9" s="5"/>
      <c r="M9" s="5"/>
      <c r="N9" s="5"/>
      <c r="O9" s="5">
        <f t="shared" si="0"/>
        <v>0</v>
      </c>
      <c r="P9" s="12">
        <f t="shared" si="1"/>
        <v>0</v>
      </c>
    </row>
    <row r="10" spans="1:16" s="1" customFormat="1" ht="137" customHeight="1" x14ac:dyDescent="0.35">
      <c r="A10" s="9" t="s">
        <v>2</v>
      </c>
      <c r="B10" s="9" t="s">
        <v>48</v>
      </c>
      <c r="C10" s="10" t="s">
        <v>90</v>
      </c>
      <c r="D10" s="11">
        <v>2.4472</v>
      </c>
      <c r="E10" s="53"/>
      <c r="F10" s="53"/>
      <c r="G10" s="53"/>
      <c r="H10" s="13"/>
      <c r="I10" s="13"/>
      <c r="J10" s="13"/>
      <c r="K10" s="5"/>
      <c r="L10" s="5"/>
      <c r="M10" s="5"/>
      <c r="N10" s="5"/>
      <c r="O10" s="5">
        <f t="shared" si="0"/>
        <v>0</v>
      </c>
      <c r="P10" s="12">
        <f t="shared" si="1"/>
        <v>0</v>
      </c>
    </row>
    <row r="11" spans="1:16" s="1" customFormat="1" ht="171" customHeight="1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E11" s="53"/>
      <c r="F11" s="53"/>
      <c r="G11" s="53"/>
      <c r="H11" s="13"/>
      <c r="I11" s="13"/>
      <c r="J11" s="13"/>
      <c r="K11" s="5"/>
      <c r="L11" s="5"/>
      <c r="M11" s="5"/>
      <c r="N11" s="5"/>
      <c r="O11" s="5">
        <f t="shared" si="0"/>
        <v>0</v>
      </c>
      <c r="P11" s="12">
        <f t="shared" si="1"/>
        <v>0</v>
      </c>
    </row>
    <row r="12" spans="1:16" s="1" customFormat="1" ht="149" customHeight="1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E12" s="53"/>
      <c r="F12" s="53"/>
      <c r="G12" s="53"/>
      <c r="H12" s="13"/>
      <c r="I12" s="13"/>
      <c r="J12" s="13"/>
      <c r="K12" s="5"/>
      <c r="L12" s="5"/>
      <c r="M12" s="5"/>
      <c r="N12" s="5"/>
      <c r="O12" s="5">
        <f t="shared" si="0"/>
        <v>0</v>
      </c>
      <c r="P12" s="12">
        <f t="shared" si="1"/>
        <v>0</v>
      </c>
    </row>
    <row r="13" spans="1:16" s="1" customFormat="1" ht="145" customHeight="1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E13" s="53"/>
      <c r="F13" s="53"/>
      <c r="G13" s="53"/>
      <c r="H13" s="13"/>
      <c r="I13" s="13"/>
      <c r="J13" s="13"/>
      <c r="K13" s="5"/>
      <c r="L13" s="5"/>
      <c r="M13" s="5"/>
      <c r="N13" s="5"/>
      <c r="O13" s="5">
        <f t="shared" si="0"/>
        <v>0</v>
      </c>
      <c r="P13" s="12">
        <f t="shared" si="1"/>
        <v>0</v>
      </c>
    </row>
    <row r="14" spans="1:16" s="1" customFormat="1" ht="145" customHeight="1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53"/>
      <c r="F14" s="53"/>
      <c r="G14" s="53"/>
      <c r="H14" s="13"/>
      <c r="I14" s="13"/>
      <c r="J14" s="13"/>
      <c r="K14" s="5"/>
      <c r="L14" s="5"/>
      <c r="M14" s="5"/>
      <c r="N14" s="5"/>
      <c r="O14" s="5">
        <f t="shared" si="0"/>
        <v>0</v>
      </c>
      <c r="P14" s="12">
        <f t="shared" si="1"/>
        <v>0</v>
      </c>
    </row>
    <row r="15" spans="1:16" s="1" customFormat="1" ht="145" customHeight="1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E15" s="53"/>
      <c r="F15" s="53"/>
      <c r="G15" s="53"/>
      <c r="H15" s="13"/>
      <c r="I15" s="13"/>
      <c r="J15" s="13"/>
      <c r="K15" s="5"/>
      <c r="L15" s="5"/>
      <c r="M15" s="5"/>
      <c r="N15" s="5"/>
      <c r="O15" s="5">
        <f t="shared" si="0"/>
        <v>0</v>
      </c>
      <c r="P15" s="12">
        <f t="shared" si="1"/>
        <v>0</v>
      </c>
    </row>
    <row r="16" spans="1:16" s="1" customFormat="1" ht="145" customHeight="1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E16" s="53"/>
      <c r="F16" s="53"/>
      <c r="G16" s="53"/>
      <c r="H16" s="13"/>
      <c r="I16" s="13"/>
      <c r="J16" s="13"/>
      <c r="K16" s="5"/>
      <c r="L16" s="5"/>
      <c r="M16" s="5"/>
      <c r="N16" s="5"/>
      <c r="O16" s="5">
        <f t="shared" si="0"/>
        <v>0</v>
      </c>
      <c r="P16" s="12">
        <f t="shared" si="1"/>
        <v>0</v>
      </c>
    </row>
    <row r="17" spans="1:40" s="1" customFormat="1" ht="145" customHeight="1" x14ac:dyDescent="0.35">
      <c r="A17" s="9" t="s">
        <v>311</v>
      </c>
      <c r="B17" s="9" t="s">
        <v>307</v>
      </c>
      <c r="C17" s="10" t="s">
        <v>91</v>
      </c>
      <c r="D17" s="11">
        <v>4.0571999999999999</v>
      </c>
      <c r="E17" s="53"/>
      <c r="F17" s="53"/>
      <c r="G17" s="53"/>
      <c r="H17" s="13"/>
      <c r="I17" s="13"/>
      <c r="J17" s="13"/>
      <c r="K17" s="5"/>
      <c r="L17" s="5"/>
      <c r="M17" s="5"/>
      <c r="N17" s="5"/>
      <c r="O17" s="5">
        <f t="shared" si="0"/>
        <v>0</v>
      </c>
      <c r="P17" s="12">
        <f t="shared" si="1"/>
        <v>0</v>
      </c>
    </row>
    <row r="18" spans="1:40" s="1" customFormat="1" ht="195" customHeight="1" x14ac:dyDescent="0.35">
      <c r="A18" s="9" t="s">
        <v>103</v>
      </c>
      <c r="B18" s="9" t="s">
        <v>209</v>
      </c>
      <c r="C18" s="10" t="s">
        <v>90</v>
      </c>
      <c r="D18" s="11">
        <v>4.0571999999999999</v>
      </c>
      <c r="E18" s="53"/>
      <c r="F18" s="53"/>
      <c r="G18" s="53"/>
      <c r="H18" s="13"/>
      <c r="I18" s="13"/>
      <c r="J18" s="13"/>
      <c r="K18" s="13"/>
      <c r="L18" s="5">
        <f>8*L3</f>
        <v>0</v>
      </c>
      <c r="M18" s="5"/>
      <c r="N18" s="5"/>
      <c r="O18" s="5">
        <f t="shared" si="0"/>
        <v>0</v>
      </c>
      <c r="P18" s="12">
        <f t="shared" si="1"/>
        <v>0</v>
      </c>
    </row>
    <row r="19" spans="1:40" s="1" customFormat="1" ht="195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53"/>
      <c r="F19" s="53"/>
      <c r="G19" s="53">
        <f>8*G3</f>
        <v>0</v>
      </c>
      <c r="H19" s="13"/>
      <c r="I19" s="13"/>
      <c r="J19" s="13"/>
      <c r="K19" s="13"/>
      <c r="L19" s="5"/>
      <c r="M19" s="5"/>
      <c r="N19" s="5"/>
      <c r="O19" s="5">
        <f t="shared" si="0"/>
        <v>0</v>
      </c>
      <c r="P19" s="12"/>
    </row>
    <row r="20" spans="1:40" s="1" customFormat="1" ht="207" customHeight="1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53"/>
      <c r="F20" s="53"/>
      <c r="G20" s="53"/>
      <c r="H20" s="13">
        <f>8*H3</f>
        <v>0</v>
      </c>
      <c r="I20" s="13">
        <f>6*I3</f>
        <v>0</v>
      </c>
      <c r="J20" s="13">
        <f>6*J3</f>
        <v>0</v>
      </c>
      <c r="K20" s="13">
        <f>8*K3</f>
        <v>0</v>
      </c>
      <c r="L20" s="5"/>
      <c r="M20" s="5"/>
      <c r="N20" s="5"/>
      <c r="O20" s="5">
        <f t="shared" si="0"/>
        <v>0</v>
      </c>
      <c r="P20" s="12">
        <f t="shared" ref="P20:P51" si="2">D20*O20</f>
        <v>0</v>
      </c>
    </row>
    <row r="21" spans="1:40" s="1" customFormat="1" ht="205" customHeight="1" x14ac:dyDescent="0.2">
      <c r="A21" s="9" t="s">
        <v>5</v>
      </c>
      <c r="B21" s="9" t="s">
        <v>53</v>
      </c>
      <c r="C21" s="10" t="s">
        <v>90</v>
      </c>
      <c r="D21" s="11">
        <v>5.3</v>
      </c>
      <c r="E21" s="53">
        <f>6*E3</f>
        <v>0</v>
      </c>
      <c r="F21" s="53">
        <f>6*F3</f>
        <v>0</v>
      </c>
      <c r="G21" s="53"/>
      <c r="H21" s="13"/>
      <c r="I21" s="13"/>
      <c r="J21" s="13"/>
      <c r="K21" s="5"/>
      <c r="L21" s="5"/>
      <c r="M21" s="5"/>
      <c r="N21" s="5"/>
      <c r="O21" s="5">
        <f t="shared" si="0"/>
        <v>0</v>
      </c>
      <c r="P21" s="12">
        <f t="shared" si="2"/>
        <v>0</v>
      </c>
    </row>
    <row r="22" spans="1:40" s="1" customFormat="1" ht="141" customHeight="1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53"/>
      <c r="F22" s="53"/>
      <c r="G22" s="53"/>
      <c r="H22" s="13"/>
      <c r="I22" s="13">
        <f>2*I3</f>
        <v>0</v>
      </c>
      <c r="J22" s="13">
        <f>2*J3</f>
        <v>0</v>
      </c>
      <c r="K22" s="5"/>
      <c r="L22" s="5"/>
      <c r="M22" s="5"/>
      <c r="N22" s="5"/>
      <c r="O22" s="5">
        <f t="shared" si="0"/>
        <v>0</v>
      </c>
      <c r="P22" s="12">
        <f t="shared" si="2"/>
        <v>0</v>
      </c>
    </row>
    <row r="23" spans="1:40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53">
        <f>2*E3</f>
        <v>0</v>
      </c>
      <c r="F23" s="53">
        <f>2*F3</f>
        <v>0</v>
      </c>
      <c r="G23" s="53"/>
      <c r="H23" s="5"/>
      <c r="I23" s="5"/>
      <c r="J23" s="5"/>
      <c r="K23" s="5"/>
      <c r="L23" s="5"/>
      <c r="M23" s="5"/>
      <c r="N23" s="5"/>
      <c r="O23" s="5">
        <f t="shared" si="0"/>
        <v>0</v>
      </c>
      <c r="P23" s="12">
        <f t="shared" si="2"/>
        <v>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s="1" customFormat="1" ht="94" customHeight="1" x14ac:dyDescent="0.2">
      <c r="A24" s="9" t="s">
        <v>162</v>
      </c>
      <c r="B24" s="9" t="s">
        <v>163</v>
      </c>
      <c r="C24" s="10"/>
      <c r="D24" s="11">
        <v>0.24</v>
      </c>
      <c r="E24" s="53"/>
      <c r="F24" s="53"/>
      <c r="G24" s="53"/>
      <c r="H24" s="5"/>
      <c r="I24" s="5"/>
      <c r="J24" s="5"/>
      <c r="K24" s="5"/>
      <c r="L24" s="5"/>
      <c r="M24" s="5"/>
      <c r="N24" s="5"/>
      <c r="O24" s="5">
        <f t="shared" si="0"/>
        <v>0</v>
      </c>
      <c r="P24" s="12">
        <f t="shared" si="2"/>
        <v>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s="1" customFormat="1" ht="64" x14ac:dyDescent="0.2">
      <c r="A25" s="9" t="s">
        <v>164</v>
      </c>
      <c r="B25" s="9" t="s">
        <v>165</v>
      </c>
      <c r="C25" s="10"/>
      <c r="D25" s="11">
        <v>0.17</v>
      </c>
      <c r="E25" s="53"/>
      <c r="F25" s="53"/>
      <c r="G25" s="53"/>
      <c r="H25" s="5"/>
      <c r="I25" s="5"/>
      <c r="J25" s="5"/>
      <c r="K25" s="5"/>
      <c r="L25" s="5"/>
      <c r="M25" s="5"/>
      <c r="N25" s="5"/>
      <c r="O25" s="5">
        <f t="shared" si="0"/>
        <v>0</v>
      </c>
      <c r="P25" s="12">
        <f t="shared" si="2"/>
        <v>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s="1" customFormat="1" ht="128" x14ac:dyDescent="0.2">
      <c r="A26" s="14" t="s">
        <v>166</v>
      </c>
      <c r="B26" s="14" t="s">
        <v>167</v>
      </c>
      <c r="C26" s="10"/>
      <c r="D26" s="11">
        <v>7.2</v>
      </c>
      <c r="E26" s="53"/>
      <c r="F26" s="53"/>
      <c r="G26" s="53"/>
      <c r="H26" s="5"/>
      <c r="I26" s="5"/>
      <c r="J26" s="5"/>
      <c r="K26" s="5"/>
      <c r="L26" s="5"/>
      <c r="M26" s="5"/>
      <c r="N26" s="5"/>
      <c r="O26" s="5">
        <f t="shared" si="0"/>
        <v>0</v>
      </c>
      <c r="P26" s="12">
        <f t="shared" si="2"/>
        <v>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s="1" customFormat="1" ht="128" x14ac:dyDescent="0.2">
      <c r="A27" s="78" t="s">
        <v>316</v>
      </c>
      <c r="B27" s="14" t="s">
        <v>169</v>
      </c>
      <c r="C27" s="10"/>
      <c r="D27" s="11">
        <v>7.2</v>
      </c>
      <c r="E27" s="53"/>
      <c r="F27" s="53"/>
      <c r="G27" s="53"/>
      <c r="H27" s="5"/>
      <c r="I27" s="5"/>
      <c r="J27" s="5"/>
      <c r="K27" s="5"/>
      <c r="L27" s="5"/>
      <c r="M27" s="5"/>
      <c r="N27" s="5"/>
      <c r="O27" s="5">
        <f t="shared" si="0"/>
        <v>0</v>
      </c>
      <c r="P27" s="12">
        <f t="shared" si="2"/>
        <v>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s="1" customFormat="1" ht="128" x14ac:dyDescent="0.2">
      <c r="A28" s="78" t="s">
        <v>314</v>
      </c>
      <c r="B28" s="14" t="s">
        <v>315</v>
      </c>
      <c r="C28" s="10"/>
      <c r="D28" s="11">
        <v>7.2</v>
      </c>
      <c r="E28" s="53"/>
      <c r="F28" s="53"/>
      <c r="G28" s="53"/>
      <c r="H28" s="5"/>
      <c r="I28" s="5"/>
      <c r="J28" s="5"/>
      <c r="K28" s="5"/>
      <c r="L28" s="5"/>
      <c r="M28" s="5"/>
      <c r="N28" s="5"/>
      <c r="O28" s="5">
        <f t="shared" si="0"/>
        <v>0</v>
      </c>
      <c r="P28" s="12">
        <f t="shared" si="2"/>
        <v>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s="1" customFormat="1" ht="136" customHeight="1" x14ac:dyDescent="0.2">
      <c r="A29" s="14" t="s">
        <v>170</v>
      </c>
      <c r="B29" s="14" t="s">
        <v>171</v>
      </c>
      <c r="C29" s="10"/>
      <c r="D29" s="11">
        <v>7.2</v>
      </c>
      <c r="E29" s="53"/>
      <c r="F29" s="53"/>
      <c r="G29" s="53"/>
      <c r="H29" s="5"/>
      <c r="I29" s="5"/>
      <c r="J29" s="5"/>
      <c r="K29" s="5"/>
      <c r="L29" s="5"/>
      <c r="M29" s="5"/>
      <c r="N29" s="5"/>
      <c r="O29" s="5">
        <f t="shared" si="0"/>
        <v>0</v>
      </c>
      <c r="P29" s="12">
        <f t="shared" si="2"/>
        <v>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s="1" customFormat="1" ht="136" customHeight="1" x14ac:dyDescent="0.2">
      <c r="A30" s="78" t="s">
        <v>312</v>
      </c>
      <c r="B30" s="14" t="s">
        <v>173</v>
      </c>
      <c r="C30" s="10"/>
      <c r="D30" s="11">
        <v>7.2</v>
      </c>
      <c r="E30" s="53"/>
      <c r="F30" s="53"/>
      <c r="G30" s="53"/>
      <c r="H30" s="5"/>
      <c r="I30" s="5"/>
      <c r="J30" s="5"/>
      <c r="K30" s="5"/>
      <c r="L30" s="5"/>
      <c r="M30" s="5"/>
      <c r="N30" s="5"/>
      <c r="O30" s="5">
        <f t="shared" si="0"/>
        <v>0</v>
      </c>
      <c r="P30" s="12">
        <f t="shared" si="2"/>
        <v>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s="1" customFormat="1" ht="146" customHeight="1" x14ac:dyDescent="0.2">
      <c r="A31" s="14" t="s">
        <v>172</v>
      </c>
      <c r="B31" s="14" t="s">
        <v>173</v>
      </c>
      <c r="C31" s="10"/>
      <c r="D31" s="11">
        <v>7.2</v>
      </c>
      <c r="E31" s="53"/>
      <c r="F31" s="53"/>
      <c r="G31" s="53"/>
      <c r="H31" s="5"/>
      <c r="I31" s="5"/>
      <c r="J31" s="5"/>
      <c r="K31" s="5"/>
      <c r="L31" s="5"/>
      <c r="M31" s="5"/>
      <c r="N31" s="5"/>
      <c r="O31" s="5">
        <f t="shared" si="0"/>
        <v>0</v>
      </c>
      <c r="P31" s="12">
        <f t="shared" si="2"/>
        <v>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s="1" customFormat="1" ht="151" customHeight="1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53"/>
      <c r="F32" s="53"/>
      <c r="G32" s="53"/>
      <c r="H32" s="13"/>
      <c r="I32" s="13"/>
      <c r="J32" s="13"/>
      <c r="K32" s="5"/>
      <c r="L32" s="5"/>
      <c r="M32" s="5"/>
      <c r="N32" s="5"/>
      <c r="O32" s="5">
        <f t="shared" si="0"/>
        <v>0</v>
      </c>
      <c r="P32" s="12">
        <f t="shared" si="2"/>
        <v>0</v>
      </c>
    </row>
    <row r="33" spans="1:16" s="1" customFormat="1" ht="161" customHeight="1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53"/>
      <c r="F33" s="53"/>
      <c r="G33" s="53"/>
      <c r="H33" s="13"/>
      <c r="I33" s="13"/>
      <c r="J33" s="13"/>
      <c r="K33" s="13"/>
      <c r="L33" s="5"/>
      <c r="M33" s="5"/>
      <c r="N33" s="5"/>
      <c r="O33" s="5">
        <f t="shared" si="0"/>
        <v>0</v>
      </c>
      <c r="P33" s="12">
        <f t="shared" si="2"/>
        <v>0</v>
      </c>
    </row>
    <row r="34" spans="1:16" s="1" customFormat="1" ht="139" customHeight="1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53"/>
      <c r="F34" s="53"/>
      <c r="G34" s="53"/>
      <c r="H34" s="13"/>
      <c r="I34" s="13"/>
      <c r="J34" s="13"/>
      <c r="K34" s="13"/>
      <c r="L34" s="5"/>
      <c r="M34" s="5"/>
      <c r="N34" s="5"/>
      <c r="O34" s="5">
        <f t="shared" si="0"/>
        <v>0</v>
      </c>
      <c r="P34" s="12">
        <f t="shared" si="2"/>
        <v>0</v>
      </c>
    </row>
    <row r="35" spans="1:16" s="1" customFormat="1" ht="143" customHeight="1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53"/>
      <c r="F35" s="53"/>
      <c r="G35" s="53"/>
      <c r="H35" s="13"/>
      <c r="I35" s="13"/>
      <c r="J35" s="13"/>
      <c r="K35" s="13"/>
      <c r="L35" s="5"/>
      <c r="M35" s="5"/>
      <c r="N35" s="5"/>
      <c r="O35" s="5">
        <f t="shared" si="0"/>
        <v>0</v>
      </c>
      <c r="P35" s="12">
        <f t="shared" si="2"/>
        <v>0</v>
      </c>
    </row>
    <row r="36" spans="1:16" s="1" customFormat="1" ht="195" customHeight="1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53"/>
      <c r="F36" s="53"/>
      <c r="G36" s="53"/>
      <c r="H36" s="13"/>
      <c r="I36" s="13"/>
      <c r="J36" s="13"/>
      <c r="K36" s="13"/>
      <c r="L36" s="5"/>
      <c r="M36" s="5"/>
      <c r="N36" s="5"/>
      <c r="O36" s="5">
        <f t="shared" ref="O36:O67" si="3">SUM(E36:L36)</f>
        <v>0</v>
      </c>
      <c r="P36" s="12">
        <f t="shared" si="2"/>
        <v>0</v>
      </c>
    </row>
    <row r="37" spans="1:16" s="1" customFormat="1" ht="160" customHeight="1" x14ac:dyDescent="0.2">
      <c r="A37" s="9" t="s">
        <v>143</v>
      </c>
      <c r="B37" s="9" t="s">
        <v>152</v>
      </c>
      <c r="C37" s="10" t="s">
        <v>9</v>
      </c>
      <c r="D37" s="11">
        <v>6.6220000000000008</v>
      </c>
      <c r="E37" s="53"/>
      <c r="F37" s="53"/>
      <c r="G37" s="53"/>
      <c r="H37" s="13"/>
      <c r="I37" s="13"/>
      <c r="J37" s="13"/>
      <c r="K37" s="5"/>
      <c r="L37" s="5"/>
      <c r="M37" s="5"/>
      <c r="N37" s="5"/>
      <c r="O37" s="5">
        <f t="shared" si="3"/>
        <v>0</v>
      </c>
      <c r="P37" s="12">
        <f t="shared" si="2"/>
        <v>0</v>
      </c>
    </row>
    <row r="38" spans="1:16" s="1" customFormat="1" ht="160" customHeight="1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53"/>
      <c r="F38" s="53"/>
      <c r="G38" s="53"/>
      <c r="H38" s="13"/>
      <c r="I38" s="13"/>
      <c r="J38" s="13"/>
      <c r="K38" s="5"/>
      <c r="L38" s="5"/>
      <c r="M38" s="5"/>
      <c r="N38" s="5"/>
      <c r="O38" s="5">
        <f t="shared" si="3"/>
        <v>0</v>
      </c>
      <c r="P38" s="12">
        <f t="shared" si="2"/>
        <v>0</v>
      </c>
    </row>
    <row r="39" spans="1:16" s="1" customFormat="1" ht="188" customHeight="1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53"/>
      <c r="F39" s="53"/>
      <c r="G39" s="53"/>
      <c r="H39" s="13"/>
      <c r="I39" s="13"/>
      <c r="J39" s="13"/>
      <c r="K39" s="5"/>
      <c r="L39" s="5"/>
      <c r="M39" s="5"/>
      <c r="N39" s="5"/>
      <c r="O39" s="5">
        <f t="shared" si="3"/>
        <v>0</v>
      </c>
      <c r="P39" s="12">
        <f t="shared" si="2"/>
        <v>0</v>
      </c>
    </row>
    <row r="40" spans="1:16" s="1" customFormat="1" ht="170" customHeight="1" x14ac:dyDescent="0.2">
      <c r="A40" s="9" t="s">
        <v>117</v>
      </c>
      <c r="B40" s="9" t="s">
        <v>98</v>
      </c>
      <c r="C40" s="10" t="s">
        <v>9</v>
      </c>
      <c r="D40" s="11">
        <v>7.22</v>
      </c>
      <c r="E40" s="53"/>
      <c r="F40" s="53"/>
      <c r="G40" s="53"/>
      <c r="H40" s="13"/>
      <c r="I40" s="13"/>
      <c r="J40" s="13"/>
      <c r="K40" s="5"/>
      <c r="L40" s="5"/>
      <c r="M40" s="5"/>
      <c r="N40" s="5"/>
      <c r="O40" s="5">
        <f t="shared" si="3"/>
        <v>0</v>
      </c>
      <c r="P40" s="12">
        <f t="shared" si="2"/>
        <v>0</v>
      </c>
    </row>
    <row r="41" spans="1:16" s="1" customFormat="1" ht="170" customHeight="1" x14ac:dyDescent="0.2">
      <c r="A41" s="9" t="s">
        <v>11</v>
      </c>
      <c r="B41" s="9" t="s">
        <v>57</v>
      </c>
      <c r="C41" s="10" t="s">
        <v>9</v>
      </c>
      <c r="D41" s="11">
        <v>5.16</v>
      </c>
      <c r="E41" s="53"/>
      <c r="F41" s="53"/>
      <c r="G41" s="53"/>
      <c r="H41" s="13"/>
      <c r="I41" s="13"/>
      <c r="J41" s="13"/>
      <c r="K41" s="5"/>
      <c r="L41" s="5"/>
      <c r="M41" s="5"/>
      <c r="N41" s="5"/>
      <c r="O41" s="5">
        <f t="shared" si="3"/>
        <v>0</v>
      </c>
      <c r="P41" s="12">
        <f t="shared" si="2"/>
        <v>0</v>
      </c>
    </row>
    <row r="42" spans="1:16" s="1" customFormat="1" ht="136" customHeight="1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53"/>
      <c r="F42" s="53"/>
      <c r="G42" s="53"/>
      <c r="H42" s="13"/>
      <c r="I42" s="13"/>
      <c r="J42" s="13"/>
      <c r="K42" s="13"/>
      <c r="L42" s="5"/>
      <c r="M42" s="5"/>
      <c r="N42" s="5"/>
      <c r="O42" s="5">
        <f t="shared" si="3"/>
        <v>0</v>
      </c>
      <c r="P42" s="12">
        <f t="shared" si="2"/>
        <v>0</v>
      </c>
    </row>
    <row r="43" spans="1:16" s="1" customFormat="1" ht="142" customHeight="1" x14ac:dyDescent="0.2">
      <c r="A43" s="9" t="s">
        <v>115</v>
      </c>
      <c r="B43" s="9" t="s">
        <v>58</v>
      </c>
      <c r="C43" s="10" t="s">
        <v>9</v>
      </c>
      <c r="D43" s="11">
        <v>7.22</v>
      </c>
      <c r="E43" s="53"/>
      <c r="F43" s="53"/>
      <c r="G43" s="53"/>
      <c r="H43" s="13"/>
      <c r="I43" s="13"/>
      <c r="J43" s="13"/>
      <c r="K43" s="13"/>
      <c r="L43" s="5"/>
      <c r="M43" s="5"/>
      <c r="N43" s="5"/>
      <c r="O43" s="5">
        <f t="shared" si="3"/>
        <v>0</v>
      </c>
      <c r="P43" s="12">
        <f t="shared" si="2"/>
        <v>0</v>
      </c>
    </row>
    <row r="44" spans="1:16" s="1" customFormat="1" ht="136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53"/>
      <c r="F44" s="53"/>
      <c r="G44" s="53"/>
      <c r="H44" s="13"/>
      <c r="I44" s="13"/>
      <c r="J44" s="13"/>
      <c r="K44" s="5"/>
      <c r="L44" s="5"/>
      <c r="M44" s="5"/>
      <c r="N44" s="5"/>
      <c r="O44" s="5">
        <f t="shared" si="3"/>
        <v>0</v>
      </c>
      <c r="P44" s="12">
        <f t="shared" si="2"/>
        <v>0</v>
      </c>
    </row>
    <row r="45" spans="1:16" s="1" customFormat="1" ht="180" customHeight="1" x14ac:dyDescent="0.2">
      <c r="A45" s="9" t="s">
        <v>13</v>
      </c>
      <c r="B45" s="9" t="s">
        <v>60</v>
      </c>
      <c r="C45" s="10"/>
      <c r="D45" s="11">
        <v>0.73</v>
      </c>
      <c r="E45" s="53"/>
      <c r="F45" s="53"/>
      <c r="G45" s="53"/>
      <c r="H45" s="13">
        <f>14*H3</f>
        <v>0</v>
      </c>
      <c r="I45" s="13">
        <f>14*I3</f>
        <v>0</v>
      </c>
      <c r="J45" s="13">
        <f>14*J3</f>
        <v>0</v>
      </c>
      <c r="K45" s="13">
        <f>14*K3</f>
        <v>0</v>
      </c>
      <c r="L45" s="5">
        <f>14*L3</f>
        <v>0</v>
      </c>
      <c r="M45" s="5"/>
      <c r="N45" s="5"/>
      <c r="O45" s="5">
        <f t="shared" si="3"/>
        <v>0</v>
      </c>
      <c r="P45" s="12">
        <f t="shared" si="2"/>
        <v>0</v>
      </c>
    </row>
    <row r="46" spans="1:16" s="1" customFormat="1" ht="180" customHeight="1" x14ac:dyDescent="0.2">
      <c r="A46" s="9" t="s">
        <v>135</v>
      </c>
      <c r="B46" s="9" t="s">
        <v>134</v>
      </c>
      <c r="C46" s="10"/>
      <c r="D46" s="11">
        <v>0.73</v>
      </c>
      <c r="E46" s="53">
        <f>14*E3</f>
        <v>0</v>
      </c>
      <c r="F46" s="53">
        <f>14*F3</f>
        <v>0</v>
      </c>
      <c r="G46" s="53">
        <f>14*G3</f>
        <v>0</v>
      </c>
      <c r="H46" s="13"/>
      <c r="I46" s="13"/>
      <c r="J46" s="13"/>
      <c r="K46" s="13"/>
      <c r="L46" s="5"/>
      <c r="M46" s="5"/>
      <c r="N46" s="5"/>
      <c r="O46" s="5">
        <f t="shared" si="3"/>
        <v>0</v>
      </c>
      <c r="P46" s="12">
        <f t="shared" si="2"/>
        <v>0</v>
      </c>
    </row>
    <row r="47" spans="1:16" s="1" customFormat="1" ht="198" customHeight="1" x14ac:dyDescent="0.2">
      <c r="A47" s="14" t="s">
        <v>14</v>
      </c>
      <c r="B47" s="14" t="s">
        <v>61</v>
      </c>
      <c r="C47" s="10"/>
      <c r="D47" s="11">
        <v>1.8620000000000001</v>
      </c>
      <c r="E47" s="53"/>
      <c r="F47" s="53"/>
      <c r="G47" s="53"/>
      <c r="H47" s="13"/>
      <c r="I47" s="13"/>
      <c r="J47" s="13"/>
      <c r="K47" s="5"/>
      <c r="L47" s="5"/>
      <c r="M47" s="5"/>
      <c r="N47" s="5"/>
      <c r="O47" s="5">
        <f t="shared" si="3"/>
        <v>0</v>
      </c>
      <c r="P47" s="12">
        <f t="shared" si="2"/>
        <v>0</v>
      </c>
    </row>
    <row r="48" spans="1:16" s="1" customFormat="1" ht="128" customHeight="1" x14ac:dyDescent="0.2">
      <c r="A48" s="14" t="s">
        <v>15</v>
      </c>
      <c r="B48" s="14" t="s">
        <v>62</v>
      </c>
      <c r="C48" s="10"/>
      <c r="D48" s="11">
        <v>0.96600000000000008</v>
      </c>
      <c r="E48" s="53"/>
      <c r="F48" s="53"/>
      <c r="G48" s="53">
        <f>1*G3</f>
        <v>0</v>
      </c>
      <c r="H48" s="13"/>
      <c r="I48" s="13"/>
      <c r="J48" s="13"/>
      <c r="K48" s="5"/>
      <c r="L48" s="5">
        <f>1*L3</f>
        <v>0</v>
      </c>
      <c r="M48" s="5"/>
      <c r="N48" s="5"/>
      <c r="O48" s="5">
        <f t="shared" si="3"/>
        <v>0</v>
      </c>
      <c r="P48" s="12">
        <f t="shared" si="2"/>
        <v>0</v>
      </c>
    </row>
    <row r="49" spans="1:40" s="1" customFormat="1" ht="126" customHeight="1" x14ac:dyDescent="0.2">
      <c r="A49" s="14" t="s">
        <v>16</v>
      </c>
      <c r="B49" s="14" t="s">
        <v>63</v>
      </c>
      <c r="C49" s="10"/>
      <c r="D49" s="11">
        <v>0.83</v>
      </c>
      <c r="E49" s="53">
        <f>1*E3</f>
        <v>0</v>
      </c>
      <c r="F49" s="53">
        <f>1*F3</f>
        <v>0</v>
      </c>
      <c r="G49" s="53"/>
      <c r="H49" s="13">
        <f>1*H3</f>
        <v>0</v>
      </c>
      <c r="I49" s="13">
        <f>1*I3</f>
        <v>0</v>
      </c>
      <c r="J49" s="13">
        <f>1*J3</f>
        <v>0</v>
      </c>
      <c r="K49" s="13">
        <f>1*K3</f>
        <v>0</v>
      </c>
      <c r="L49" s="5"/>
      <c r="M49" s="5"/>
      <c r="N49" s="5"/>
      <c r="O49" s="5">
        <f t="shared" si="3"/>
        <v>0</v>
      </c>
      <c r="P49" s="12">
        <f t="shared" si="2"/>
        <v>0</v>
      </c>
    </row>
    <row r="50" spans="1:40" s="1" customFormat="1" ht="108" customHeight="1" x14ac:dyDescent="0.2">
      <c r="A50" s="14" t="s">
        <v>17</v>
      </c>
      <c r="B50" s="14" t="s">
        <v>64</v>
      </c>
      <c r="C50" s="10"/>
      <c r="D50" s="11">
        <v>10.497199999999999</v>
      </c>
      <c r="E50" s="53">
        <f>2*E3</f>
        <v>0</v>
      </c>
      <c r="F50" s="53">
        <f>1*F3</f>
        <v>0</v>
      </c>
      <c r="G50" s="53">
        <f>2*G3</f>
        <v>0</v>
      </c>
      <c r="H50" s="13">
        <f>2*H3</f>
        <v>0</v>
      </c>
      <c r="I50" s="13">
        <f>2*I3</f>
        <v>0</v>
      </c>
      <c r="J50" s="13">
        <f>1*J3</f>
        <v>0</v>
      </c>
      <c r="K50" s="13">
        <f>1*K3</f>
        <v>0</v>
      </c>
      <c r="L50" s="5">
        <f>2*L3</f>
        <v>0</v>
      </c>
      <c r="M50" s="5"/>
      <c r="N50" s="5"/>
      <c r="O50" s="5">
        <f t="shared" si="3"/>
        <v>0</v>
      </c>
      <c r="P50" s="12">
        <f t="shared" si="2"/>
        <v>0</v>
      </c>
    </row>
    <row r="51" spans="1:40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E51" s="53"/>
      <c r="F51" s="53"/>
      <c r="G51" s="53"/>
      <c r="H51" s="5"/>
      <c r="I51" s="5"/>
      <c r="J51" s="5"/>
      <c r="K51" s="5"/>
      <c r="L51" s="5"/>
      <c r="M51" s="5"/>
      <c r="N51" s="5"/>
      <c r="O51" s="5">
        <f t="shared" si="3"/>
        <v>0</v>
      </c>
      <c r="P51" s="12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s="1" customFormat="1" ht="32" x14ac:dyDescent="0.2">
      <c r="A52" s="14" t="s">
        <v>175</v>
      </c>
      <c r="B52" s="48" t="s">
        <v>191</v>
      </c>
      <c r="C52" s="10"/>
      <c r="D52" s="11">
        <v>6.78</v>
      </c>
      <c r="E52" s="53"/>
      <c r="F52" s="53"/>
      <c r="G52" s="53"/>
      <c r="H52" s="5"/>
      <c r="I52" s="5"/>
      <c r="J52" s="5"/>
      <c r="K52" s="5"/>
      <c r="L52" s="5"/>
      <c r="M52" s="5"/>
      <c r="N52" s="5"/>
      <c r="O52" s="5">
        <f t="shared" si="3"/>
        <v>0</v>
      </c>
      <c r="P52" s="12">
        <f t="shared" ref="P52:P83" si="4">D52*O52</f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s="1" customFormat="1" ht="108" customHeight="1" x14ac:dyDescent="0.2">
      <c r="A53" s="14" t="s">
        <v>18</v>
      </c>
      <c r="B53" s="14" t="s">
        <v>65</v>
      </c>
      <c r="C53" s="10"/>
      <c r="D53" s="11">
        <v>6.78</v>
      </c>
      <c r="E53" s="53"/>
      <c r="F53" s="53"/>
      <c r="G53" s="53"/>
      <c r="H53" s="13"/>
      <c r="I53" s="13"/>
      <c r="J53" s="13"/>
      <c r="K53" s="5"/>
      <c r="L53" s="5"/>
      <c r="M53" s="5"/>
      <c r="N53" s="5"/>
      <c r="O53" s="5">
        <f t="shared" si="3"/>
        <v>0</v>
      </c>
      <c r="P53" s="12">
        <f t="shared" si="4"/>
        <v>0</v>
      </c>
    </row>
    <row r="54" spans="1:40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E54" s="53"/>
      <c r="F54" s="53"/>
      <c r="G54" s="53"/>
      <c r="H54" s="13"/>
      <c r="I54" s="13"/>
      <c r="J54" s="13"/>
      <c r="K54" s="5"/>
      <c r="L54" s="5"/>
      <c r="M54" s="5"/>
      <c r="N54" s="5"/>
      <c r="O54" s="5">
        <f t="shared" si="3"/>
        <v>0</v>
      </c>
      <c r="P54" s="12">
        <f t="shared" si="4"/>
        <v>0</v>
      </c>
    </row>
    <row r="55" spans="1:40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53"/>
      <c r="F55" s="53"/>
      <c r="G55" s="53"/>
      <c r="H55" s="13">
        <f>2*H3</f>
        <v>0</v>
      </c>
      <c r="I55" s="13">
        <f>2*I3</f>
        <v>0</v>
      </c>
      <c r="J55" s="13">
        <f>1*J3</f>
        <v>0</v>
      </c>
      <c r="K55" s="13">
        <f>1*K3</f>
        <v>0</v>
      </c>
      <c r="L55" s="5">
        <f>2*L3</f>
        <v>0</v>
      </c>
      <c r="M55" s="5"/>
      <c r="N55" s="5"/>
      <c r="O55" s="5">
        <f t="shared" si="3"/>
        <v>0</v>
      </c>
      <c r="P55" s="12">
        <f t="shared" si="4"/>
        <v>0</v>
      </c>
    </row>
    <row r="56" spans="1:40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E56" s="53">
        <f>2*E3</f>
        <v>0</v>
      </c>
      <c r="F56" s="53">
        <f>1*E3</f>
        <v>0</v>
      </c>
      <c r="G56" s="53">
        <f>2*G3</f>
        <v>0</v>
      </c>
      <c r="H56" s="13"/>
      <c r="I56" s="13"/>
      <c r="J56" s="13"/>
      <c r="K56" s="13"/>
      <c r="O56" s="5">
        <f t="shared" si="3"/>
        <v>0</v>
      </c>
      <c r="P56" s="12">
        <f t="shared" si="4"/>
        <v>0</v>
      </c>
    </row>
    <row r="57" spans="1:40" s="1" customFormat="1" ht="162" customHeight="1" x14ac:dyDescent="0.2">
      <c r="A57" s="14" t="s">
        <v>22</v>
      </c>
      <c r="B57" s="14" t="s">
        <v>70</v>
      </c>
      <c r="C57" s="10"/>
      <c r="D57" s="11">
        <v>0.15512465373961221</v>
      </c>
      <c r="E57" s="53">
        <f>2*E3</f>
        <v>0</v>
      </c>
      <c r="F57" s="53">
        <f>1*F3</f>
        <v>0</v>
      </c>
      <c r="G57" s="53">
        <f>2*G3</f>
        <v>0</v>
      </c>
      <c r="H57" s="13">
        <f>2*H3</f>
        <v>0</v>
      </c>
      <c r="I57" s="13">
        <f>2*I3</f>
        <v>0</v>
      </c>
      <c r="J57" s="13">
        <f>1*J3</f>
        <v>0</v>
      </c>
      <c r="K57" s="13">
        <f>1*K3</f>
        <v>0</v>
      </c>
      <c r="L57" s="5">
        <f>2*L3</f>
        <v>0</v>
      </c>
      <c r="M57" s="5"/>
      <c r="N57" s="5"/>
      <c r="O57" s="5">
        <f t="shared" si="3"/>
        <v>0</v>
      </c>
      <c r="P57" s="12">
        <f t="shared" si="4"/>
        <v>0</v>
      </c>
    </row>
    <row r="58" spans="1:40" s="1" customFormat="1" ht="164" customHeight="1" x14ac:dyDescent="0.2">
      <c r="A58" s="14" t="s">
        <v>23</v>
      </c>
      <c r="B58" s="14" t="s">
        <v>69</v>
      </c>
      <c r="C58" s="10"/>
      <c r="D58" s="11">
        <v>0.27922437673130196</v>
      </c>
      <c r="E58" s="53">
        <f>2*E3</f>
        <v>0</v>
      </c>
      <c r="F58" s="53">
        <f>1*F3</f>
        <v>0</v>
      </c>
      <c r="G58" s="53">
        <f>2*G3</f>
        <v>0</v>
      </c>
      <c r="H58" s="13">
        <f>2*H3</f>
        <v>0</v>
      </c>
      <c r="I58" s="13">
        <f>2*I3</f>
        <v>0</v>
      </c>
      <c r="J58" s="13">
        <f>1*J3</f>
        <v>0</v>
      </c>
      <c r="K58" s="13">
        <f>1*K3</f>
        <v>0</v>
      </c>
      <c r="L58" s="5">
        <f>2*L3</f>
        <v>0</v>
      </c>
      <c r="M58" s="5"/>
      <c r="N58" s="5"/>
      <c r="O58" s="5">
        <f t="shared" si="3"/>
        <v>0</v>
      </c>
      <c r="P58" s="12">
        <f t="shared" si="4"/>
        <v>0</v>
      </c>
    </row>
    <row r="59" spans="1:40" s="1" customFormat="1" ht="174" customHeight="1" x14ac:dyDescent="0.2">
      <c r="A59" s="14" t="s">
        <v>24</v>
      </c>
      <c r="B59" s="14" t="s">
        <v>68</v>
      </c>
      <c r="C59" s="10"/>
      <c r="D59" s="11">
        <v>0.12409972299168978</v>
      </c>
      <c r="E59" s="53">
        <f>2*E3</f>
        <v>0</v>
      </c>
      <c r="F59" s="53">
        <f>1*F3</f>
        <v>0</v>
      </c>
      <c r="G59" s="13">
        <f>2*G3</f>
        <v>0</v>
      </c>
      <c r="H59" s="13">
        <f>2*H3</f>
        <v>0</v>
      </c>
      <c r="I59" s="13">
        <f>2*I3</f>
        <v>0</v>
      </c>
      <c r="J59" s="13">
        <f>1*J3</f>
        <v>0</v>
      </c>
      <c r="K59" s="13">
        <f>1*K3</f>
        <v>0</v>
      </c>
      <c r="L59" s="5">
        <f>2*L3</f>
        <v>0</v>
      </c>
      <c r="M59" s="5"/>
      <c r="N59" s="5"/>
      <c r="O59" s="5">
        <f t="shared" si="3"/>
        <v>0</v>
      </c>
      <c r="P59" s="12">
        <f t="shared" si="4"/>
        <v>0</v>
      </c>
    </row>
    <row r="60" spans="1:40" s="1" customFormat="1" ht="152" customHeight="1" x14ac:dyDescent="0.2">
      <c r="A60" s="14" t="s">
        <v>25</v>
      </c>
      <c r="B60" s="14" t="s">
        <v>71</v>
      </c>
      <c r="C60" s="10"/>
      <c r="D60" s="11">
        <v>3.1024930747922445E-2</v>
      </c>
      <c r="E60" s="53">
        <f>2*E3</f>
        <v>0</v>
      </c>
      <c r="F60" s="53">
        <f>1*F3</f>
        <v>0</v>
      </c>
      <c r="G60" s="13">
        <f>2*G3</f>
        <v>0</v>
      </c>
      <c r="H60" s="13">
        <f>2*H3</f>
        <v>0</v>
      </c>
      <c r="I60" s="13">
        <f>2*I3</f>
        <v>0</v>
      </c>
      <c r="J60" s="13">
        <f>1*J3</f>
        <v>0</v>
      </c>
      <c r="K60" s="13">
        <f>1*K3</f>
        <v>0</v>
      </c>
      <c r="L60" s="5">
        <f>2*L3</f>
        <v>0</v>
      </c>
      <c r="M60" s="5"/>
      <c r="N60" s="5"/>
      <c r="O60" s="5">
        <f t="shared" si="3"/>
        <v>0</v>
      </c>
      <c r="P60" s="12">
        <f t="shared" si="4"/>
        <v>0</v>
      </c>
    </row>
    <row r="61" spans="1:40" s="1" customFormat="1" ht="128" customHeight="1" x14ac:dyDescent="0.2">
      <c r="A61" s="14" t="s">
        <v>26</v>
      </c>
      <c r="B61" s="14" t="s">
        <v>72</v>
      </c>
      <c r="C61" s="10"/>
      <c r="D61" s="11">
        <v>3.49</v>
      </c>
      <c r="E61" s="53"/>
      <c r="F61" s="53"/>
      <c r="G61" s="53"/>
      <c r="H61" s="13"/>
      <c r="I61" s="13"/>
      <c r="J61" s="13"/>
      <c r="K61" s="5"/>
      <c r="L61" s="5"/>
      <c r="M61" s="5"/>
      <c r="N61" s="5"/>
      <c r="O61" s="5">
        <f t="shared" si="3"/>
        <v>0</v>
      </c>
      <c r="P61" s="12">
        <f t="shared" si="4"/>
        <v>0</v>
      </c>
    </row>
    <row r="62" spans="1:40" s="1" customFormat="1" ht="232" customHeight="1" x14ac:dyDescent="0.2">
      <c r="A62" s="14" t="s">
        <v>27</v>
      </c>
      <c r="B62" s="14" t="s">
        <v>73</v>
      </c>
      <c r="C62" s="10" t="s">
        <v>204</v>
      </c>
      <c r="D62" s="11">
        <v>4.8499999999999996</v>
      </c>
      <c r="E62" s="53"/>
      <c r="F62" s="53"/>
      <c r="G62" s="53"/>
      <c r="H62" s="13"/>
      <c r="I62" s="13"/>
      <c r="J62" s="13"/>
      <c r="K62" s="5"/>
      <c r="L62" s="5"/>
      <c r="M62" s="5"/>
      <c r="N62" s="5"/>
      <c r="O62" s="5">
        <f t="shared" si="3"/>
        <v>0</v>
      </c>
      <c r="P62" s="12">
        <f t="shared" si="4"/>
        <v>0</v>
      </c>
    </row>
    <row r="63" spans="1:40" s="1" customFormat="1" ht="217" customHeight="1" x14ac:dyDescent="0.2">
      <c r="A63" s="14" t="s">
        <v>28</v>
      </c>
      <c r="B63" s="14" t="s">
        <v>74</v>
      </c>
      <c r="C63" s="10" t="s">
        <v>204</v>
      </c>
      <c r="D63" s="11">
        <v>6.8</v>
      </c>
      <c r="E63" s="53"/>
      <c r="F63" s="53"/>
      <c r="G63" s="53"/>
      <c r="H63" s="13"/>
      <c r="I63" s="13"/>
      <c r="J63" s="13"/>
      <c r="K63" s="5"/>
      <c r="L63" s="5"/>
      <c r="M63" s="5"/>
      <c r="N63" s="5"/>
      <c r="O63" s="5">
        <f t="shared" si="3"/>
        <v>0</v>
      </c>
      <c r="P63" s="12">
        <f t="shared" si="4"/>
        <v>0</v>
      </c>
    </row>
    <row r="64" spans="1:40" s="1" customFormat="1" ht="126" customHeight="1" x14ac:dyDescent="0.2">
      <c r="A64" s="14" t="s">
        <v>29</v>
      </c>
      <c r="B64" s="14" t="s">
        <v>75</v>
      </c>
      <c r="C64" s="10"/>
      <c r="D64" s="11">
        <v>1.1399999999999999</v>
      </c>
      <c r="E64" s="53">
        <f>2*E3</f>
        <v>0</v>
      </c>
      <c r="F64" s="53">
        <f>1*F3</f>
        <v>0</v>
      </c>
      <c r="G64" s="13">
        <f>2*G3</f>
        <v>0</v>
      </c>
      <c r="H64" s="13">
        <f>2*H3</f>
        <v>0</v>
      </c>
      <c r="I64" s="13">
        <f>2*I3</f>
        <v>0</v>
      </c>
      <c r="J64" s="13">
        <f>1*J3</f>
        <v>0</v>
      </c>
      <c r="K64" s="13">
        <f>1*K3</f>
        <v>0</v>
      </c>
      <c r="L64" s="5">
        <f>2*L3</f>
        <v>0</v>
      </c>
      <c r="M64" s="5"/>
      <c r="N64" s="5"/>
      <c r="O64" s="5">
        <f t="shared" si="3"/>
        <v>0</v>
      </c>
      <c r="P64" s="12">
        <f t="shared" si="4"/>
        <v>0</v>
      </c>
    </row>
    <row r="65" spans="1:40" s="1" customFormat="1" ht="94" customHeight="1" x14ac:dyDescent="0.2">
      <c r="A65" s="14" t="s">
        <v>30</v>
      </c>
      <c r="B65" s="14" t="s">
        <v>76</v>
      </c>
      <c r="C65" s="10"/>
      <c r="D65" s="11">
        <v>1.22</v>
      </c>
      <c r="E65" s="53">
        <f>2*E3</f>
        <v>0</v>
      </c>
      <c r="F65" s="53">
        <f>2*F3</f>
        <v>0</v>
      </c>
      <c r="G65" s="53"/>
      <c r="H65" s="13"/>
      <c r="I65" s="13">
        <f>2*I3</f>
        <v>0</v>
      </c>
      <c r="J65" s="13">
        <f>2*J3</f>
        <v>0</v>
      </c>
      <c r="K65" s="5"/>
      <c r="L65" s="5"/>
      <c r="M65" s="5"/>
      <c r="N65" s="5"/>
      <c r="O65" s="5">
        <f t="shared" si="3"/>
        <v>0</v>
      </c>
      <c r="P65" s="12">
        <f t="shared" si="4"/>
        <v>0</v>
      </c>
    </row>
    <row r="66" spans="1:40" s="1" customFormat="1" ht="132" customHeight="1" x14ac:dyDescent="0.2">
      <c r="A66" s="14" t="s">
        <v>31</v>
      </c>
      <c r="B66" s="14" t="s">
        <v>259</v>
      </c>
      <c r="C66" s="10"/>
      <c r="D66" s="11">
        <v>2.15</v>
      </c>
      <c r="E66" s="53"/>
      <c r="F66" s="53"/>
      <c r="G66" s="53"/>
      <c r="H66" s="13"/>
      <c r="I66" s="13"/>
      <c r="J66" s="13"/>
      <c r="K66" s="5"/>
      <c r="L66" s="5"/>
      <c r="M66" s="5"/>
      <c r="N66" s="5"/>
      <c r="O66" s="5">
        <f t="shared" si="3"/>
        <v>0</v>
      </c>
      <c r="P66" s="12">
        <f t="shared" si="4"/>
        <v>0</v>
      </c>
    </row>
    <row r="67" spans="1:40" s="1" customFormat="1" ht="152" customHeight="1" x14ac:dyDescent="0.2">
      <c r="A67" s="14" t="s">
        <v>32</v>
      </c>
      <c r="B67" s="14" t="s">
        <v>77</v>
      </c>
      <c r="C67" s="10"/>
      <c r="D67" s="11">
        <v>5.5579999999999998</v>
      </c>
      <c r="E67" s="53">
        <f>1*E3</f>
        <v>0</v>
      </c>
      <c r="F67" s="53"/>
      <c r="G67" s="13">
        <f>1*G3</f>
        <v>0</v>
      </c>
      <c r="H67" s="13">
        <f>1*H3</f>
        <v>0</v>
      </c>
      <c r="I67" s="13">
        <f>1*I3</f>
        <v>0</v>
      </c>
      <c r="J67" s="13"/>
      <c r="K67" s="13"/>
      <c r="L67" s="5">
        <f>1*L3</f>
        <v>0</v>
      </c>
      <c r="M67" s="5"/>
      <c r="N67" s="5"/>
      <c r="O67" s="5">
        <f t="shared" si="3"/>
        <v>0</v>
      </c>
      <c r="P67" s="12">
        <f t="shared" si="4"/>
        <v>0</v>
      </c>
    </row>
    <row r="68" spans="1:40" s="1" customFormat="1" ht="160" customHeight="1" x14ac:dyDescent="0.2">
      <c r="A68" s="14" t="s">
        <v>33</v>
      </c>
      <c r="B68" s="14" t="s">
        <v>78</v>
      </c>
      <c r="C68" s="10"/>
      <c r="D68" s="11">
        <v>5.5579999999999998</v>
      </c>
      <c r="E68" s="53">
        <f>1*E3</f>
        <v>0</v>
      </c>
      <c r="F68" s="53"/>
      <c r="G68" s="13">
        <f>1*G3</f>
        <v>0</v>
      </c>
      <c r="H68" s="13">
        <f>1*H3</f>
        <v>0</v>
      </c>
      <c r="I68" s="13">
        <f>1*I3</f>
        <v>0</v>
      </c>
      <c r="J68" s="13"/>
      <c r="K68" s="13"/>
      <c r="L68" s="5">
        <f>1*L3</f>
        <v>0</v>
      </c>
      <c r="M68" s="5"/>
      <c r="N68" s="5"/>
      <c r="O68" s="5">
        <f t="shared" ref="O68:O90" si="5">SUM(E68:L68)</f>
        <v>0</v>
      </c>
      <c r="P68" s="12">
        <f t="shared" si="4"/>
        <v>0</v>
      </c>
    </row>
    <row r="69" spans="1:40" s="1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E69" s="53"/>
      <c r="F69" s="53"/>
      <c r="G69" s="53"/>
      <c r="H69" s="5"/>
      <c r="I69" s="5"/>
      <c r="J69" s="5"/>
      <c r="K69" s="5"/>
      <c r="L69" s="5"/>
      <c r="M69" s="5"/>
      <c r="N69" s="5"/>
      <c r="O69" s="5">
        <f t="shared" si="5"/>
        <v>0</v>
      </c>
      <c r="P69" s="12">
        <f t="shared" si="4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s="1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E70" s="53"/>
      <c r="F70" s="53"/>
      <c r="G70" s="53"/>
      <c r="H70" s="5"/>
      <c r="I70" s="5"/>
      <c r="J70" s="5"/>
      <c r="K70" s="5"/>
      <c r="L70" s="5"/>
      <c r="M70" s="5"/>
      <c r="N70" s="5"/>
      <c r="O70" s="5">
        <f t="shared" si="5"/>
        <v>0</v>
      </c>
      <c r="P70" s="12">
        <f t="shared" si="4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s="1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E71" s="53"/>
      <c r="F71" s="53"/>
      <c r="G71" s="53"/>
      <c r="O71" s="5">
        <f t="shared" si="5"/>
        <v>0</v>
      </c>
      <c r="P71" s="12">
        <f t="shared" si="4"/>
        <v>0</v>
      </c>
    </row>
    <row r="72" spans="1:40" s="1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E72" s="53"/>
      <c r="F72" s="53"/>
      <c r="G72" s="53"/>
      <c r="O72" s="5">
        <f t="shared" si="5"/>
        <v>0</v>
      </c>
      <c r="P72" s="12">
        <f t="shared" si="4"/>
        <v>0</v>
      </c>
    </row>
    <row r="73" spans="1:40" s="1" customFormat="1" ht="142" customHeight="1" x14ac:dyDescent="0.2">
      <c r="A73" s="14" t="s">
        <v>34</v>
      </c>
      <c r="B73" s="14" t="s">
        <v>79</v>
      </c>
      <c r="C73" s="10"/>
      <c r="D73" s="11">
        <v>3.3879999999999999</v>
      </c>
      <c r="E73" s="53"/>
      <c r="F73" s="53"/>
      <c r="G73" s="53"/>
      <c r="H73" s="13"/>
      <c r="I73" s="13"/>
      <c r="J73" s="13"/>
      <c r="K73" s="5"/>
      <c r="L73" s="5"/>
      <c r="M73" s="5"/>
      <c r="N73" s="5"/>
      <c r="O73" s="5">
        <f t="shared" si="5"/>
        <v>0</v>
      </c>
      <c r="P73" s="12">
        <f t="shared" si="4"/>
        <v>0</v>
      </c>
    </row>
    <row r="74" spans="1:40" s="1" customFormat="1" ht="110" customHeight="1" x14ac:dyDescent="0.2">
      <c r="A74" s="14" t="s">
        <v>35</v>
      </c>
      <c r="B74" s="14" t="s">
        <v>80</v>
      </c>
      <c r="C74" s="10"/>
      <c r="D74" s="11">
        <v>3.3879999999999999</v>
      </c>
      <c r="E74" s="53"/>
      <c r="F74" s="53"/>
      <c r="G74" s="53"/>
      <c r="H74" s="13"/>
      <c r="I74" s="13"/>
      <c r="J74" s="13"/>
      <c r="K74" s="5"/>
      <c r="L74" s="5"/>
      <c r="M74" s="5"/>
      <c r="N74" s="5"/>
      <c r="O74" s="5">
        <f t="shared" si="5"/>
        <v>0</v>
      </c>
      <c r="P74" s="12">
        <f t="shared" si="4"/>
        <v>0</v>
      </c>
    </row>
    <row r="75" spans="1:40" s="1" customFormat="1" ht="108" customHeight="1" x14ac:dyDescent="0.2">
      <c r="A75" s="14" t="s">
        <v>36</v>
      </c>
      <c r="B75" s="14" t="s">
        <v>81</v>
      </c>
      <c r="C75" s="10"/>
      <c r="D75" s="11">
        <v>2.1280000000000001</v>
      </c>
      <c r="E75" s="53"/>
      <c r="F75" s="53"/>
      <c r="G75" s="53"/>
      <c r="H75" s="13"/>
      <c r="I75" s="13"/>
      <c r="J75" s="13"/>
      <c r="K75" s="5"/>
      <c r="L75" s="5"/>
      <c r="M75" s="5"/>
      <c r="N75" s="5"/>
      <c r="O75" s="5">
        <f t="shared" si="5"/>
        <v>0</v>
      </c>
      <c r="P75" s="12">
        <f t="shared" si="4"/>
        <v>0</v>
      </c>
    </row>
    <row r="76" spans="1:40" s="1" customFormat="1" ht="132" customHeight="1" x14ac:dyDescent="0.2">
      <c r="A76" s="14" t="s">
        <v>37</v>
      </c>
      <c r="B76" s="14" t="s">
        <v>82</v>
      </c>
      <c r="C76" s="10"/>
      <c r="D76" s="11">
        <v>2.702</v>
      </c>
      <c r="E76" s="53"/>
      <c r="F76" s="53"/>
      <c r="G76" s="53"/>
      <c r="H76" s="13"/>
      <c r="I76" s="13"/>
      <c r="J76" s="13"/>
      <c r="K76" s="5"/>
      <c r="L76" s="5"/>
      <c r="M76" s="5"/>
      <c r="N76" s="5"/>
      <c r="O76" s="5">
        <f t="shared" si="5"/>
        <v>0</v>
      </c>
      <c r="P76" s="12">
        <f t="shared" si="4"/>
        <v>0</v>
      </c>
    </row>
    <row r="77" spans="1:40" s="1" customFormat="1" ht="128" customHeight="1" x14ac:dyDescent="0.2">
      <c r="A77" s="14" t="s">
        <v>38</v>
      </c>
      <c r="B77" s="14" t="s">
        <v>83</v>
      </c>
      <c r="C77" s="10"/>
      <c r="D77" s="11">
        <v>0.68599999999999994</v>
      </c>
      <c r="E77" s="53"/>
      <c r="F77" s="53"/>
      <c r="G77" s="53"/>
      <c r="H77" s="13"/>
      <c r="I77" s="13"/>
      <c r="J77" s="13"/>
      <c r="K77" s="5"/>
      <c r="L77" s="5"/>
      <c r="M77" s="5"/>
      <c r="N77" s="5"/>
      <c r="O77" s="5">
        <f t="shared" si="5"/>
        <v>0</v>
      </c>
      <c r="P77" s="12">
        <f t="shared" si="4"/>
        <v>0</v>
      </c>
    </row>
    <row r="78" spans="1:40" s="1" customFormat="1" ht="120" customHeight="1" x14ac:dyDescent="0.2">
      <c r="A78" s="14" t="s">
        <v>39</v>
      </c>
      <c r="B78" s="14" t="s">
        <v>84</v>
      </c>
      <c r="C78" s="10"/>
      <c r="D78" s="11">
        <v>0.68599999999999994</v>
      </c>
      <c r="E78" s="53"/>
      <c r="F78" s="53"/>
      <c r="G78" s="53"/>
      <c r="H78" s="13"/>
      <c r="I78" s="13"/>
      <c r="J78" s="13"/>
      <c r="K78" s="5"/>
      <c r="L78" s="5"/>
      <c r="M78" s="5"/>
      <c r="N78" s="5"/>
      <c r="O78" s="5">
        <f t="shared" si="5"/>
        <v>0</v>
      </c>
      <c r="P78" s="12">
        <f t="shared" si="4"/>
        <v>0</v>
      </c>
    </row>
    <row r="79" spans="1:40" s="1" customFormat="1" ht="132" customHeight="1" x14ac:dyDescent="0.2">
      <c r="A79" s="14" t="s">
        <v>40</v>
      </c>
      <c r="B79" s="14" t="s">
        <v>85</v>
      </c>
      <c r="C79" s="10"/>
      <c r="D79" s="11">
        <v>0.98</v>
      </c>
      <c r="E79" s="53"/>
      <c r="F79" s="53"/>
      <c r="G79" s="53"/>
      <c r="H79" s="13">
        <f>1*H3</f>
        <v>0</v>
      </c>
      <c r="I79" s="13">
        <f>1*I3</f>
        <v>0</v>
      </c>
      <c r="J79" s="13"/>
      <c r="K79" s="5"/>
      <c r="L79" s="5">
        <f>1*L3</f>
        <v>0</v>
      </c>
      <c r="M79" s="5"/>
      <c r="N79" s="5"/>
      <c r="O79" s="5">
        <f t="shared" si="5"/>
        <v>0</v>
      </c>
      <c r="P79" s="12">
        <f t="shared" si="4"/>
        <v>0</v>
      </c>
    </row>
    <row r="80" spans="1:40" s="1" customFormat="1" ht="110" customHeight="1" x14ac:dyDescent="0.2">
      <c r="A80" s="14" t="s">
        <v>41</v>
      </c>
      <c r="B80" s="15" t="s">
        <v>254</v>
      </c>
      <c r="C80" s="16"/>
      <c r="D80" s="11">
        <v>0.98</v>
      </c>
      <c r="E80" s="53"/>
      <c r="F80" s="53"/>
      <c r="G80" s="53"/>
      <c r="H80" s="13">
        <f>1*H3</f>
        <v>0</v>
      </c>
      <c r="I80" s="13">
        <f>1*I3</f>
        <v>0</v>
      </c>
      <c r="J80" s="13"/>
      <c r="K80" s="5"/>
      <c r="L80" s="5">
        <f>1*L3</f>
        <v>0</v>
      </c>
      <c r="M80" s="5"/>
      <c r="N80" s="5"/>
      <c r="O80" s="5">
        <f t="shared" si="5"/>
        <v>0</v>
      </c>
      <c r="P80" s="12">
        <f t="shared" si="4"/>
        <v>0</v>
      </c>
    </row>
    <row r="81" spans="1:40" s="1" customFormat="1" ht="230" customHeight="1" x14ac:dyDescent="0.2">
      <c r="A81" s="14" t="s">
        <v>136</v>
      </c>
      <c r="B81" s="14" t="s">
        <v>132</v>
      </c>
      <c r="C81" s="10"/>
      <c r="D81" s="11">
        <v>0.98</v>
      </c>
      <c r="E81" s="53">
        <f>1*E3</f>
        <v>0</v>
      </c>
      <c r="F81" s="53"/>
      <c r="G81" s="53">
        <f>1*G3</f>
        <v>0</v>
      </c>
      <c r="H81" s="13"/>
      <c r="I81" s="13"/>
      <c r="J81" s="13"/>
      <c r="K81" s="5"/>
      <c r="O81" s="5">
        <f t="shared" si="5"/>
        <v>0</v>
      </c>
      <c r="P81" s="12">
        <f t="shared" si="4"/>
        <v>0</v>
      </c>
    </row>
    <row r="82" spans="1:40" s="1" customFormat="1" ht="236" customHeight="1" x14ac:dyDescent="0.2">
      <c r="A82" s="14" t="s">
        <v>137</v>
      </c>
      <c r="B82" s="14" t="s">
        <v>133</v>
      </c>
      <c r="C82" s="10"/>
      <c r="D82" s="11">
        <v>0.68599999999999994</v>
      </c>
      <c r="E82" s="53">
        <f>1*E3</f>
        <v>0</v>
      </c>
      <c r="F82" s="53"/>
      <c r="G82" s="53">
        <f>1*G3</f>
        <v>0</v>
      </c>
      <c r="H82" s="13"/>
      <c r="I82" s="13"/>
      <c r="J82" s="13"/>
      <c r="K82" s="5"/>
      <c r="O82" s="5">
        <f t="shared" si="5"/>
        <v>0</v>
      </c>
      <c r="P82" s="12">
        <f t="shared" si="4"/>
        <v>0</v>
      </c>
    </row>
    <row r="83" spans="1:40" s="1" customFormat="1" ht="160" x14ac:dyDescent="0.2">
      <c r="A83" s="10" t="s">
        <v>154</v>
      </c>
      <c r="B83" s="10" t="s">
        <v>155</v>
      </c>
      <c r="C83" s="10"/>
      <c r="D83" s="11">
        <v>19.137999999999998</v>
      </c>
      <c r="E83" s="53"/>
      <c r="F83" s="53"/>
      <c r="G83" s="53"/>
      <c r="H83" s="5"/>
      <c r="I83" s="5"/>
      <c r="J83" s="5"/>
      <c r="K83" s="5"/>
      <c r="L83" s="5"/>
      <c r="M83" s="5"/>
      <c r="N83" s="5"/>
      <c r="O83" s="5">
        <f t="shared" si="5"/>
        <v>0</v>
      </c>
      <c r="P83" s="25">
        <f t="shared" si="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s="1" customFormat="1" ht="409" customHeight="1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53"/>
      <c r="F84" s="53"/>
      <c r="G84" s="53"/>
      <c r="H84" s="5"/>
      <c r="I84" s="5"/>
      <c r="J84" s="5"/>
      <c r="K84" s="5"/>
      <c r="L84" s="5"/>
      <c r="M84" s="5"/>
      <c r="N84" s="5"/>
      <c r="O84" s="5">
        <f t="shared" si="5"/>
        <v>0</v>
      </c>
      <c r="P84" s="25">
        <f t="shared" ref="P84:P90" si="6">D84*O84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s="1" customFormat="1" ht="409" customHeight="1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53"/>
      <c r="F85" s="53"/>
      <c r="G85" s="53"/>
      <c r="H85" s="5"/>
      <c r="I85" s="5"/>
      <c r="J85" s="5"/>
      <c r="K85" s="5"/>
      <c r="L85" s="5"/>
      <c r="M85" s="5"/>
      <c r="N85" s="5"/>
      <c r="O85" s="5">
        <f t="shared" si="5"/>
        <v>0</v>
      </c>
      <c r="P85" s="25">
        <f t="shared" si="6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s="1" customFormat="1" ht="384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53"/>
      <c r="F86" s="53"/>
      <c r="G86" s="53"/>
      <c r="H86" s="5"/>
      <c r="I86" s="5"/>
      <c r="J86" s="5"/>
      <c r="K86" s="5"/>
      <c r="L86" s="5"/>
      <c r="M86" s="5"/>
      <c r="N86" s="5"/>
      <c r="O86" s="5">
        <f t="shared" si="5"/>
        <v>0</v>
      </c>
      <c r="P86" s="25">
        <f t="shared" si="6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s="1" customFormat="1" ht="160" x14ac:dyDescent="0.2">
      <c r="A87" s="14" t="s">
        <v>180</v>
      </c>
      <c r="B87" s="10" t="s">
        <v>181</v>
      </c>
      <c r="C87" s="10"/>
      <c r="D87" s="11">
        <v>0.75</v>
      </c>
      <c r="E87" s="53"/>
      <c r="F87" s="53"/>
      <c r="G87" s="53"/>
      <c r="O87" s="5">
        <f t="shared" si="5"/>
        <v>0</v>
      </c>
      <c r="P87" s="25">
        <f t="shared" si="6"/>
        <v>0</v>
      </c>
    </row>
    <row r="88" spans="1:40" s="1" customFormat="1" ht="160" x14ac:dyDescent="0.2">
      <c r="A88" s="14" t="s">
        <v>182</v>
      </c>
      <c r="B88" s="10" t="s">
        <v>183</v>
      </c>
      <c r="C88" s="10"/>
      <c r="D88" s="11">
        <v>0.75</v>
      </c>
      <c r="E88" s="53"/>
      <c r="F88" s="53"/>
      <c r="G88" s="53"/>
      <c r="O88" s="5">
        <f t="shared" si="5"/>
        <v>0</v>
      </c>
      <c r="P88" s="25">
        <f t="shared" si="6"/>
        <v>0</v>
      </c>
    </row>
    <row r="89" spans="1:40" s="1" customFormat="1" ht="160" x14ac:dyDescent="0.2">
      <c r="A89" s="14" t="s">
        <v>184</v>
      </c>
      <c r="B89" s="10" t="s">
        <v>185</v>
      </c>
      <c r="C89" s="10"/>
      <c r="D89" s="11">
        <v>0.75</v>
      </c>
      <c r="E89" s="53"/>
      <c r="F89" s="53"/>
      <c r="G89" s="53"/>
      <c r="O89" s="5">
        <f t="shared" si="5"/>
        <v>0</v>
      </c>
      <c r="P89" s="25">
        <f t="shared" si="6"/>
        <v>0</v>
      </c>
    </row>
    <row r="90" spans="1:40" s="1" customFormat="1" ht="160" x14ac:dyDescent="0.2">
      <c r="A90" s="14" t="s">
        <v>186</v>
      </c>
      <c r="B90" s="14" t="s">
        <v>256</v>
      </c>
      <c r="C90" s="10"/>
      <c r="D90" s="11">
        <v>0.75</v>
      </c>
      <c r="E90" s="53"/>
      <c r="F90" s="53"/>
      <c r="G90" s="53"/>
      <c r="O90" s="5">
        <f t="shared" si="5"/>
        <v>0</v>
      </c>
      <c r="P90" s="25">
        <f t="shared" si="6"/>
        <v>0</v>
      </c>
    </row>
    <row r="91" spans="1:40" ht="53" customHeight="1" x14ac:dyDescent="0.2"/>
    <row r="92" spans="1:40" s="24" customFormat="1" ht="75" customHeight="1" x14ac:dyDescent="0.2">
      <c r="O92" s="24" t="s">
        <v>114</v>
      </c>
      <c r="P92" s="63">
        <f>SUM(P4:P90)</f>
        <v>0</v>
      </c>
    </row>
  </sheetData>
  <phoneticPr fontId="2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8AE5-EC19-0B4E-A846-6591ADC885BB}">
  <sheetPr>
    <tabColor theme="0"/>
  </sheetPr>
  <dimension ref="A1:AN92"/>
  <sheetViews>
    <sheetView topLeftCell="A24" zoomScale="50" zoomScaleNormal="50" workbookViewId="0">
      <selection activeCell="K4" sqref="K4"/>
    </sheetView>
  </sheetViews>
  <sheetFormatPr baseColWidth="10" defaultRowHeight="16" x14ac:dyDescent="0.2"/>
  <cols>
    <col min="1" max="1" width="42.1640625" customWidth="1"/>
    <col min="2" max="2" width="46" customWidth="1"/>
    <col min="3" max="3" width="29.33203125" customWidth="1"/>
    <col min="4" max="4" width="42" customWidth="1"/>
    <col min="5" max="5" width="40.83203125" customWidth="1"/>
    <col min="6" max="6" width="50.1640625" customWidth="1"/>
    <col min="7" max="7" width="35.1640625" customWidth="1"/>
    <col min="8" max="8" width="41.33203125" customWidth="1"/>
    <col min="9" max="9" width="49.6640625" customWidth="1"/>
    <col min="10" max="10" width="33.33203125" customWidth="1"/>
    <col min="11" max="11" width="45.6640625" customWidth="1"/>
    <col min="12" max="12" width="38.6640625" customWidth="1"/>
    <col min="13" max="13" width="33.1640625" customWidth="1"/>
    <col min="14" max="14" width="5.1640625" customWidth="1"/>
    <col min="15" max="15" width="25.83203125" style="60" customWidth="1"/>
    <col min="16" max="16" width="23.83203125" customWidth="1"/>
  </cols>
  <sheetData>
    <row r="1" spans="1:16" s="1" customFormat="1" ht="188" customHeight="1" x14ac:dyDescent="0.35">
      <c r="A1" s="2" t="s">
        <v>88</v>
      </c>
      <c r="B1" s="2" t="s">
        <v>89</v>
      </c>
      <c r="C1" s="3" t="s">
        <v>86</v>
      </c>
      <c r="D1" s="3" t="s">
        <v>87</v>
      </c>
      <c r="E1" s="4" t="s">
        <v>216</v>
      </c>
      <c r="F1" s="4" t="s">
        <v>217</v>
      </c>
      <c r="G1" s="4" t="s">
        <v>218</v>
      </c>
      <c r="H1" s="4" t="s">
        <v>215</v>
      </c>
      <c r="I1" s="4" t="s">
        <v>214</v>
      </c>
      <c r="J1" s="4" t="s">
        <v>213</v>
      </c>
      <c r="K1" s="4" t="s">
        <v>212</v>
      </c>
      <c r="L1" s="4" t="s">
        <v>211</v>
      </c>
      <c r="M1" s="4" t="s">
        <v>210</v>
      </c>
      <c r="N1" s="4"/>
      <c r="O1" s="58"/>
    </row>
    <row r="2" spans="1:16" s="54" customFormat="1" ht="56" customHeight="1" x14ac:dyDescent="0.35">
      <c r="A2" s="56"/>
      <c r="B2" s="56"/>
      <c r="C2" s="52"/>
      <c r="D2" s="3"/>
      <c r="H2" s="57"/>
      <c r="I2" s="57"/>
      <c r="J2" s="57"/>
      <c r="K2" s="57"/>
      <c r="L2" s="57"/>
      <c r="M2" s="57"/>
      <c r="N2" s="57"/>
      <c r="O2" s="59"/>
    </row>
    <row r="3" spans="1:16" s="24" customFormat="1" ht="123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/>
      <c r="O3" s="7" t="s">
        <v>114</v>
      </c>
      <c r="P3" s="24" t="s">
        <v>118</v>
      </c>
    </row>
    <row r="4" spans="1:16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E4" s="53"/>
      <c r="F4" s="53"/>
      <c r="G4" s="53">
        <f>4*G3</f>
        <v>0</v>
      </c>
      <c r="H4" s="5"/>
      <c r="I4" s="5"/>
      <c r="J4" s="5"/>
      <c r="K4" s="5"/>
      <c r="L4" s="5">
        <f>4*L3</f>
        <v>0</v>
      </c>
      <c r="M4" s="5">
        <f>4*M3</f>
        <v>0</v>
      </c>
      <c r="N4" s="5"/>
      <c r="O4" s="58">
        <f>SUM(E4:M4)</f>
        <v>0</v>
      </c>
      <c r="P4" s="12">
        <f t="shared" ref="P4:P18" si="0">D4*O4</f>
        <v>0</v>
      </c>
    </row>
    <row r="5" spans="1:16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E5" s="53"/>
      <c r="F5" s="53"/>
      <c r="G5" s="53">
        <f>1*G3</f>
        <v>0</v>
      </c>
      <c r="H5" s="5"/>
      <c r="I5" s="5"/>
      <c r="J5" s="5"/>
      <c r="K5" s="5"/>
      <c r="L5" s="5">
        <f>1*L3</f>
        <v>0</v>
      </c>
      <c r="M5" s="5">
        <f>1*M3</f>
        <v>0</v>
      </c>
      <c r="N5" s="5"/>
      <c r="O5" s="58">
        <f t="shared" ref="O5:O74" si="1">SUM(E5:M5)</f>
        <v>0</v>
      </c>
      <c r="P5" s="12">
        <f t="shared" si="0"/>
        <v>0</v>
      </c>
    </row>
    <row r="6" spans="1:16" s="1" customFormat="1" ht="64" x14ac:dyDescent="0.35">
      <c r="A6" s="9" t="s">
        <v>110</v>
      </c>
      <c r="B6" s="9" t="s">
        <v>44</v>
      </c>
      <c r="C6" s="10"/>
      <c r="D6" s="11">
        <v>3.47</v>
      </c>
      <c r="E6" s="53">
        <f>4*E3</f>
        <v>0</v>
      </c>
      <c r="F6" s="53">
        <f>4*F3</f>
        <v>0</v>
      </c>
      <c r="G6" s="53"/>
      <c r="H6" s="13">
        <f>4*H3</f>
        <v>0</v>
      </c>
      <c r="I6" s="13">
        <f>4*I3</f>
        <v>0</v>
      </c>
      <c r="J6" s="13">
        <f t="shared" ref="J6:K6" si="2">4*J3</f>
        <v>0</v>
      </c>
      <c r="K6" s="13">
        <f t="shared" si="2"/>
        <v>0</v>
      </c>
      <c r="L6" s="5"/>
      <c r="M6" s="5"/>
      <c r="N6" s="5"/>
      <c r="O6" s="58">
        <f t="shared" si="1"/>
        <v>0</v>
      </c>
      <c r="P6" s="12">
        <f t="shared" si="0"/>
        <v>0</v>
      </c>
    </row>
    <row r="7" spans="1:16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53">
        <f>1*E3</f>
        <v>0</v>
      </c>
      <c r="F7" s="53">
        <f>1*F3</f>
        <v>0</v>
      </c>
      <c r="G7" s="53"/>
      <c r="H7" s="13">
        <f>1*H3</f>
        <v>0</v>
      </c>
      <c r="I7" s="13">
        <f>1*I3</f>
        <v>0</v>
      </c>
      <c r="J7" s="13">
        <f t="shared" ref="J7:K7" si="3">1*J3</f>
        <v>0</v>
      </c>
      <c r="K7" s="13">
        <f t="shared" si="3"/>
        <v>0</v>
      </c>
      <c r="L7" s="5"/>
      <c r="M7" s="5"/>
      <c r="N7" s="5"/>
      <c r="O7" s="58">
        <f t="shared" si="1"/>
        <v>0</v>
      </c>
      <c r="P7" s="12">
        <f t="shared" si="0"/>
        <v>0</v>
      </c>
    </row>
    <row r="8" spans="1:16" s="1" customFormat="1" ht="166" customHeight="1" x14ac:dyDescent="0.35">
      <c r="A8" s="9" t="s">
        <v>112</v>
      </c>
      <c r="B8" s="9" t="s">
        <v>46</v>
      </c>
      <c r="C8" s="10"/>
      <c r="D8" s="11">
        <v>6.23</v>
      </c>
      <c r="E8" s="53"/>
      <c r="F8" s="53"/>
      <c r="G8" s="53"/>
      <c r="H8" s="13"/>
      <c r="I8" s="5"/>
      <c r="J8" s="5"/>
      <c r="K8" s="5"/>
      <c r="L8" s="5"/>
      <c r="M8" s="5"/>
      <c r="N8" s="5"/>
      <c r="O8" s="58">
        <f t="shared" si="1"/>
        <v>0</v>
      </c>
      <c r="P8" s="12">
        <f t="shared" si="0"/>
        <v>0</v>
      </c>
    </row>
    <row r="9" spans="1:16" s="1" customFormat="1" ht="114" customHeight="1" x14ac:dyDescent="0.35">
      <c r="A9" s="9" t="s">
        <v>113</v>
      </c>
      <c r="B9" s="9" t="s">
        <v>47</v>
      </c>
      <c r="C9" s="10"/>
      <c r="D9" s="11">
        <v>7.6579999999999995</v>
      </c>
      <c r="E9" s="53"/>
      <c r="F9" s="53"/>
      <c r="G9" s="53"/>
      <c r="H9" s="13"/>
      <c r="I9" s="5"/>
      <c r="J9" s="5"/>
      <c r="K9" s="5"/>
      <c r="L9" s="5"/>
      <c r="M9" s="5"/>
      <c r="N9" s="5"/>
      <c r="O9" s="58">
        <f t="shared" si="1"/>
        <v>0</v>
      </c>
      <c r="P9" s="12">
        <f t="shared" si="0"/>
        <v>0</v>
      </c>
    </row>
    <row r="10" spans="1:16" s="1" customFormat="1" ht="137" customHeight="1" x14ac:dyDescent="0.35">
      <c r="A10" s="9" t="s">
        <v>2</v>
      </c>
      <c r="B10" s="9" t="s">
        <v>48</v>
      </c>
      <c r="C10" s="10" t="s">
        <v>90</v>
      </c>
      <c r="D10" s="11">
        <v>2.4472</v>
      </c>
      <c r="E10" s="53"/>
      <c r="F10" s="53"/>
      <c r="G10" s="53"/>
      <c r="H10" s="13"/>
      <c r="I10" s="5"/>
      <c r="J10" s="5"/>
      <c r="K10" s="5"/>
      <c r="L10" s="5">
        <f>10*L3</f>
        <v>0</v>
      </c>
      <c r="M10" s="5"/>
      <c r="N10" s="5"/>
      <c r="O10" s="58">
        <f t="shared" si="1"/>
        <v>0</v>
      </c>
      <c r="P10" s="12">
        <f t="shared" si="0"/>
        <v>0</v>
      </c>
    </row>
    <row r="11" spans="1:16" s="1" customFormat="1" ht="171" customHeight="1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E11" s="53"/>
      <c r="F11" s="53"/>
      <c r="G11" s="53"/>
      <c r="H11" s="13"/>
      <c r="I11" s="5"/>
      <c r="J11" s="5">
        <f>10*J3</f>
        <v>0</v>
      </c>
      <c r="K11" s="5">
        <f>10*K3</f>
        <v>0</v>
      </c>
      <c r="L11" s="5"/>
      <c r="M11" s="5"/>
      <c r="N11" s="5"/>
      <c r="O11" s="58">
        <f t="shared" si="1"/>
        <v>0</v>
      </c>
      <c r="P11" s="12">
        <f t="shared" si="0"/>
        <v>0</v>
      </c>
    </row>
    <row r="12" spans="1:16" s="1" customFormat="1" ht="149" customHeight="1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E12" s="53"/>
      <c r="F12" s="53"/>
      <c r="G12" s="53"/>
      <c r="H12" s="13"/>
      <c r="I12" s="5"/>
      <c r="J12" s="5"/>
      <c r="K12" s="5"/>
      <c r="L12" s="5"/>
      <c r="M12" s="5"/>
      <c r="N12" s="5"/>
      <c r="O12" s="58">
        <f t="shared" si="1"/>
        <v>0</v>
      </c>
      <c r="P12" s="12">
        <f t="shared" si="0"/>
        <v>0</v>
      </c>
    </row>
    <row r="13" spans="1:16" s="1" customFormat="1" ht="145" customHeight="1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E13" s="53"/>
      <c r="F13" s="53"/>
      <c r="G13" s="53"/>
      <c r="H13" s="13"/>
      <c r="I13" s="5"/>
      <c r="J13" s="5"/>
      <c r="K13" s="5"/>
      <c r="L13" s="5"/>
      <c r="M13" s="5"/>
      <c r="N13" s="5"/>
      <c r="O13" s="58">
        <f t="shared" ref="O13:O16" si="4">SUM(E13:M13)</f>
        <v>0</v>
      </c>
      <c r="P13" s="12">
        <f t="shared" si="0"/>
        <v>0</v>
      </c>
    </row>
    <row r="14" spans="1:16" s="1" customFormat="1" ht="145" customHeight="1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53"/>
      <c r="F14" s="53"/>
      <c r="G14" s="53"/>
      <c r="H14" s="13"/>
      <c r="I14" s="5"/>
      <c r="J14" s="5"/>
      <c r="K14" s="5"/>
      <c r="L14" s="5"/>
      <c r="M14" s="5"/>
      <c r="N14" s="5"/>
      <c r="O14" s="58">
        <f t="shared" si="4"/>
        <v>0</v>
      </c>
      <c r="P14" s="12">
        <f t="shared" si="0"/>
        <v>0</v>
      </c>
    </row>
    <row r="15" spans="1:16" s="1" customFormat="1" ht="145" customHeight="1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E15" s="53"/>
      <c r="F15" s="53"/>
      <c r="G15" s="53"/>
      <c r="H15" s="13"/>
      <c r="I15" s="5"/>
      <c r="J15" s="5"/>
      <c r="K15" s="5"/>
      <c r="L15" s="5"/>
      <c r="M15" s="5"/>
      <c r="N15" s="5"/>
      <c r="O15" s="58">
        <f t="shared" si="4"/>
        <v>0</v>
      </c>
      <c r="P15" s="12">
        <f t="shared" si="0"/>
        <v>0</v>
      </c>
    </row>
    <row r="16" spans="1:16" s="1" customFormat="1" ht="145" customHeight="1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E16" s="53"/>
      <c r="F16" s="53"/>
      <c r="G16" s="53"/>
      <c r="H16" s="13"/>
      <c r="I16" s="5"/>
      <c r="J16" s="5"/>
      <c r="K16" s="5"/>
      <c r="L16" s="5"/>
      <c r="M16" s="5"/>
      <c r="N16" s="5"/>
      <c r="O16" s="58">
        <f t="shared" si="4"/>
        <v>0</v>
      </c>
      <c r="P16" s="12">
        <f t="shared" si="0"/>
        <v>0</v>
      </c>
    </row>
    <row r="17" spans="1:40" s="1" customFormat="1" ht="145" customHeight="1" x14ac:dyDescent="0.35">
      <c r="A17" s="9" t="s">
        <v>311</v>
      </c>
      <c r="B17" s="9" t="s">
        <v>307</v>
      </c>
      <c r="C17" s="10" t="s">
        <v>91</v>
      </c>
      <c r="D17" s="11">
        <v>4.0571999999999999</v>
      </c>
      <c r="E17" s="53"/>
      <c r="F17" s="53"/>
      <c r="G17" s="53"/>
      <c r="H17" s="13"/>
      <c r="I17" s="5"/>
      <c r="J17" s="5"/>
      <c r="K17" s="5"/>
      <c r="L17" s="5"/>
      <c r="M17" s="5"/>
      <c r="N17" s="5"/>
      <c r="O17" s="58">
        <f t="shared" ref="O17" si="5">SUM(E17:M17)</f>
        <v>0</v>
      </c>
      <c r="P17" s="12">
        <f t="shared" si="0"/>
        <v>0</v>
      </c>
    </row>
    <row r="18" spans="1:40" s="1" customFormat="1" ht="195" customHeight="1" x14ac:dyDescent="0.35">
      <c r="A18" s="9" t="s">
        <v>103</v>
      </c>
      <c r="B18" s="9" t="s">
        <v>209</v>
      </c>
      <c r="C18" s="10" t="s">
        <v>90</v>
      </c>
      <c r="D18" s="11">
        <v>4.0571999999999999</v>
      </c>
      <c r="E18" s="53"/>
      <c r="F18" s="53"/>
      <c r="G18" s="53"/>
      <c r="H18" s="13"/>
      <c r="I18" s="13"/>
      <c r="J18" s="5"/>
      <c r="K18" s="5"/>
      <c r="L18" s="5"/>
      <c r="M18" s="5">
        <f>10*M3</f>
        <v>0</v>
      </c>
      <c r="N18" s="5"/>
      <c r="O18" s="58">
        <f t="shared" si="1"/>
        <v>0</v>
      </c>
      <c r="P18" s="12">
        <f t="shared" si="0"/>
        <v>0</v>
      </c>
    </row>
    <row r="19" spans="1:40" s="1" customFormat="1" ht="195" customHeight="1" x14ac:dyDescent="0.35">
      <c r="A19" s="9" t="s">
        <v>207</v>
      </c>
      <c r="B19" s="9" t="s">
        <v>208</v>
      </c>
      <c r="C19" s="10" t="s">
        <v>90</v>
      </c>
      <c r="D19" s="11">
        <v>4.0571999999999999</v>
      </c>
      <c r="E19" s="53"/>
      <c r="F19" s="53"/>
      <c r="G19" s="53">
        <f>10*G3</f>
        <v>0</v>
      </c>
      <c r="H19" s="13"/>
      <c r="I19" s="13"/>
      <c r="J19" s="5"/>
      <c r="K19" s="5"/>
      <c r="L19" s="5"/>
      <c r="M19" s="5"/>
      <c r="N19" s="5"/>
      <c r="O19" s="58">
        <f t="shared" si="1"/>
        <v>0</v>
      </c>
      <c r="P19" s="12"/>
    </row>
    <row r="20" spans="1:40" s="1" customFormat="1" ht="207" customHeight="1" x14ac:dyDescent="0.35">
      <c r="A20" s="9" t="s">
        <v>4</v>
      </c>
      <c r="B20" s="9" t="s">
        <v>52</v>
      </c>
      <c r="C20" s="10" t="s">
        <v>90</v>
      </c>
      <c r="D20" s="11">
        <v>4.0571999999999999</v>
      </c>
      <c r="E20" s="53"/>
      <c r="F20" s="53"/>
      <c r="G20" s="53"/>
      <c r="H20" s="13">
        <f>10*H3</f>
        <v>0</v>
      </c>
      <c r="I20" s="13">
        <f>10*I3</f>
        <v>0</v>
      </c>
      <c r="J20" s="5"/>
      <c r="K20" s="5"/>
      <c r="L20" s="5"/>
      <c r="M20" s="5"/>
      <c r="N20" s="5"/>
      <c r="O20" s="58">
        <f t="shared" si="1"/>
        <v>0</v>
      </c>
      <c r="P20" s="12">
        <f t="shared" ref="P20:P51" si="6">D20*O20</f>
        <v>0</v>
      </c>
    </row>
    <row r="21" spans="1:40" s="1" customFormat="1" ht="205" customHeight="1" x14ac:dyDescent="0.35">
      <c r="A21" s="9" t="s">
        <v>5</v>
      </c>
      <c r="B21" s="9" t="s">
        <v>53</v>
      </c>
      <c r="C21" s="10" t="s">
        <v>90</v>
      </c>
      <c r="D21" s="11">
        <v>5.3</v>
      </c>
      <c r="E21" s="53">
        <f>10*E3</f>
        <v>0</v>
      </c>
      <c r="F21" s="53">
        <f>10*F3</f>
        <v>0</v>
      </c>
      <c r="G21" s="53"/>
      <c r="H21" s="13"/>
      <c r="I21" s="5"/>
      <c r="J21" s="5"/>
      <c r="K21" s="5"/>
      <c r="L21" s="5"/>
      <c r="M21" s="5"/>
      <c r="N21" s="5"/>
      <c r="O21" s="58">
        <f t="shared" si="1"/>
        <v>0</v>
      </c>
      <c r="P21" s="12">
        <f t="shared" si="6"/>
        <v>0</v>
      </c>
    </row>
    <row r="22" spans="1:40" s="1" customFormat="1" ht="141" customHeight="1" x14ac:dyDescent="0.35">
      <c r="A22" s="9" t="s">
        <v>202</v>
      </c>
      <c r="B22" s="9" t="s">
        <v>198</v>
      </c>
      <c r="C22" s="10" t="s">
        <v>92</v>
      </c>
      <c r="D22" s="11">
        <v>5.3065600000000011</v>
      </c>
      <c r="E22" s="53"/>
      <c r="F22" s="53"/>
      <c r="G22" s="53"/>
      <c r="H22" s="13"/>
      <c r="I22" s="5"/>
      <c r="J22" s="5"/>
      <c r="K22" s="5"/>
      <c r="L22" s="5"/>
      <c r="M22" s="5"/>
      <c r="N22" s="5"/>
      <c r="O22" s="58">
        <f t="shared" si="1"/>
        <v>0</v>
      </c>
      <c r="P22" s="12">
        <f t="shared" si="6"/>
        <v>0</v>
      </c>
    </row>
    <row r="23" spans="1:40" s="1" customFormat="1" ht="160" customHeight="1" x14ac:dyDescent="0.35">
      <c r="A23" s="9" t="s">
        <v>200</v>
      </c>
      <c r="B23" s="9" t="s">
        <v>161</v>
      </c>
      <c r="C23" s="10" t="s">
        <v>92</v>
      </c>
      <c r="D23" s="11">
        <v>5.3065600000000011</v>
      </c>
      <c r="E23" s="53"/>
      <c r="F23" s="53"/>
      <c r="G23" s="53"/>
      <c r="H23" s="5"/>
      <c r="I23" s="5"/>
      <c r="J23" s="5"/>
      <c r="K23" s="5"/>
      <c r="L23" s="5"/>
      <c r="M23" s="5"/>
      <c r="N23" s="5"/>
      <c r="O23" s="58">
        <f t="shared" si="1"/>
        <v>0</v>
      </c>
      <c r="P23" s="12">
        <f t="shared" si="6"/>
        <v>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s="1" customFormat="1" ht="94" customHeight="1" x14ac:dyDescent="0.35">
      <c r="A24" s="9" t="s">
        <v>162</v>
      </c>
      <c r="B24" s="9" t="s">
        <v>163</v>
      </c>
      <c r="C24" s="10"/>
      <c r="D24" s="11">
        <v>0.24</v>
      </c>
      <c r="E24" s="53"/>
      <c r="F24" s="53"/>
      <c r="G24" s="53"/>
      <c r="H24" s="5"/>
      <c r="I24" s="5"/>
      <c r="J24" s="5"/>
      <c r="K24" s="5"/>
      <c r="L24" s="5"/>
      <c r="M24" s="5"/>
      <c r="N24" s="5"/>
      <c r="O24" s="58">
        <f t="shared" si="1"/>
        <v>0</v>
      </c>
      <c r="P24" s="12">
        <f t="shared" si="6"/>
        <v>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s="1" customFormat="1" ht="64" x14ac:dyDescent="0.35">
      <c r="A25" s="9" t="s">
        <v>164</v>
      </c>
      <c r="B25" s="9" t="s">
        <v>165</v>
      </c>
      <c r="C25" s="10"/>
      <c r="D25" s="11">
        <v>0.17</v>
      </c>
      <c r="E25" s="53"/>
      <c r="F25" s="53"/>
      <c r="G25" s="53"/>
      <c r="H25" s="5"/>
      <c r="I25" s="5"/>
      <c r="J25" s="5"/>
      <c r="K25" s="5"/>
      <c r="L25" s="5"/>
      <c r="M25" s="5"/>
      <c r="N25" s="5"/>
      <c r="O25" s="58">
        <f t="shared" si="1"/>
        <v>0</v>
      </c>
      <c r="P25" s="12">
        <f t="shared" si="6"/>
        <v>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s="1" customFormat="1" ht="96" x14ac:dyDescent="0.35">
      <c r="A26" s="14" t="s">
        <v>166</v>
      </c>
      <c r="B26" s="14" t="s">
        <v>167</v>
      </c>
      <c r="C26" s="10"/>
      <c r="D26" s="11">
        <v>7.2</v>
      </c>
      <c r="E26" s="53"/>
      <c r="F26" s="53"/>
      <c r="G26" s="53"/>
      <c r="H26" s="5"/>
      <c r="I26" s="5"/>
      <c r="J26" s="5"/>
      <c r="K26" s="5"/>
      <c r="L26" s="5"/>
      <c r="M26" s="5"/>
      <c r="N26" s="5"/>
      <c r="O26" s="58">
        <f t="shared" si="1"/>
        <v>0</v>
      </c>
      <c r="P26" s="12">
        <f t="shared" si="6"/>
        <v>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s="1" customFormat="1" ht="96" x14ac:dyDescent="0.35">
      <c r="A27" s="78" t="s">
        <v>316</v>
      </c>
      <c r="B27" s="14" t="s">
        <v>169</v>
      </c>
      <c r="C27" s="10"/>
      <c r="D27" s="11">
        <v>7.2</v>
      </c>
      <c r="E27" s="53"/>
      <c r="F27" s="53"/>
      <c r="G27" s="53"/>
      <c r="H27" s="5"/>
      <c r="I27" s="5"/>
      <c r="J27" s="5"/>
      <c r="K27" s="5"/>
      <c r="L27" s="5"/>
      <c r="M27" s="5"/>
      <c r="N27" s="5"/>
      <c r="O27" s="58">
        <f t="shared" si="1"/>
        <v>0</v>
      </c>
      <c r="P27" s="12">
        <f t="shared" si="6"/>
        <v>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s="1" customFormat="1" ht="96" x14ac:dyDescent="0.35">
      <c r="A28" s="78" t="s">
        <v>314</v>
      </c>
      <c r="B28" s="14" t="s">
        <v>315</v>
      </c>
      <c r="C28" s="10"/>
      <c r="D28" s="11">
        <v>7.2</v>
      </c>
      <c r="E28" s="53"/>
      <c r="F28" s="53"/>
      <c r="G28" s="53"/>
      <c r="H28" s="5"/>
      <c r="I28" s="5"/>
      <c r="J28" s="5"/>
      <c r="K28" s="5"/>
      <c r="L28" s="5"/>
      <c r="M28" s="5"/>
      <c r="N28" s="5"/>
      <c r="O28" s="58">
        <f t="shared" ref="O28" si="7">SUM(E28:M28)</f>
        <v>0</v>
      </c>
      <c r="P28" s="12">
        <f t="shared" si="6"/>
        <v>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s="1" customFormat="1" ht="136" customHeight="1" x14ac:dyDescent="0.35">
      <c r="A29" s="14" t="s">
        <v>170</v>
      </c>
      <c r="B29" s="14" t="s">
        <v>171</v>
      </c>
      <c r="C29" s="10"/>
      <c r="D29" s="11">
        <v>7.2</v>
      </c>
      <c r="E29" s="53"/>
      <c r="F29" s="53"/>
      <c r="G29" s="53"/>
      <c r="H29" s="5"/>
      <c r="I29" s="5"/>
      <c r="J29" s="5"/>
      <c r="K29" s="5"/>
      <c r="L29" s="5"/>
      <c r="M29" s="5"/>
      <c r="N29" s="5"/>
      <c r="O29" s="58">
        <f t="shared" si="1"/>
        <v>0</v>
      </c>
      <c r="P29" s="12">
        <f t="shared" si="6"/>
        <v>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s="1" customFormat="1" ht="136" customHeight="1" x14ac:dyDescent="0.35">
      <c r="A30" s="78" t="s">
        <v>312</v>
      </c>
      <c r="B30" s="14" t="s">
        <v>173</v>
      </c>
      <c r="C30" s="10"/>
      <c r="D30" s="11">
        <v>7.2</v>
      </c>
      <c r="E30" s="53"/>
      <c r="F30" s="53"/>
      <c r="G30" s="53"/>
      <c r="H30" s="5"/>
      <c r="I30" s="5"/>
      <c r="J30" s="5"/>
      <c r="K30" s="5"/>
      <c r="L30" s="5"/>
      <c r="M30" s="5"/>
      <c r="N30" s="5"/>
      <c r="O30" s="58">
        <f t="shared" ref="O30" si="8">SUM(E30:M30)</f>
        <v>0</v>
      </c>
      <c r="P30" s="12">
        <f t="shared" si="6"/>
        <v>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s="1" customFormat="1" ht="146" customHeight="1" x14ac:dyDescent="0.35">
      <c r="A31" s="14" t="s">
        <v>172</v>
      </c>
      <c r="B31" s="14" t="s">
        <v>173</v>
      </c>
      <c r="C31" s="10"/>
      <c r="D31" s="11">
        <v>7.2</v>
      </c>
      <c r="E31" s="53"/>
      <c r="F31" s="53"/>
      <c r="G31" s="53"/>
      <c r="H31" s="5"/>
      <c r="I31" s="5"/>
      <c r="J31" s="5"/>
      <c r="K31" s="5"/>
      <c r="L31" s="5"/>
      <c r="M31" s="5"/>
      <c r="N31" s="5"/>
      <c r="O31" s="58">
        <f t="shared" si="1"/>
        <v>0</v>
      </c>
      <c r="P31" s="12">
        <f t="shared" si="6"/>
        <v>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s="1" customFormat="1" ht="151" customHeight="1" x14ac:dyDescent="0.35">
      <c r="A32" s="9" t="s">
        <v>6</v>
      </c>
      <c r="B32" s="9" t="s">
        <v>93</v>
      </c>
      <c r="C32" s="10" t="s">
        <v>94</v>
      </c>
      <c r="D32" s="11">
        <v>8.7919999999999998</v>
      </c>
      <c r="E32" s="53"/>
      <c r="F32" s="53"/>
      <c r="G32" s="53"/>
      <c r="H32" s="13"/>
      <c r="I32" s="5"/>
      <c r="J32" s="5"/>
      <c r="K32" s="5"/>
      <c r="L32" s="5"/>
      <c r="M32" s="5"/>
      <c r="N32" s="5"/>
      <c r="O32" s="58">
        <f t="shared" si="1"/>
        <v>0</v>
      </c>
      <c r="P32" s="12">
        <f t="shared" si="6"/>
        <v>0</v>
      </c>
    </row>
    <row r="33" spans="1:16" s="1" customFormat="1" ht="161" customHeight="1" x14ac:dyDescent="0.35">
      <c r="A33" s="9" t="s">
        <v>101</v>
      </c>
      <c r="B33" s="9" t="s">
        <v>102</v>
      </c>
      <c r="C33" s="10" t="s">
        <v>95</v>
      </c>
      <c r="D33" s="11">
        <v>8.7919999999999998</v>
      </c>
      <c r="E33" s="53"/>
      <c r="F33" s="53"/>
      <c r="G33" s="53"/>
      <c r="H33" s="13"/>
      <c r="I33" s="13"/>
      <c r="J33" s="5"/>
      <c r="K33" s="5"/>
      <c r="L33" s="5"/>
      <c r="M33" s="5"/>
      <c r="N33" s="5"/>
      <c r="O33" s="58">
        <f t="shared" si="1"/>
        <v>0</v>
      </c>
      <c r="P33" s="12">
        <f t="shared" si="6"/>
        <v>0</v>
      </c>
    </row>
    <row r="34" spans="1:16" s="1" customFormat="1" ht="139" customHeight="1" x14ac:dyDescent="0.35">
      <c r="A34" s="9" t="s">
        <v>99</v>
      </c>
      <c r="B34" s="9" t="s">
        <v>100</v>
      </c>
      <c r="C34" s="10" t="s">
        <v>95</v>
      </c>
      <c r="D34" s="11">
        <v>9.6180000000000003</v>
      </c>
      <c r="E34" s="53"/>
      <c r="F34" s="53"/>
      <c r="G34" s="53"/>
      <c r="H34" s="13"/>
      <c r="I34" s="13"/>
      <c r="J34" s="5"/>
      <c r="K34" s="5"/>
      <c r="L34" s="5"/>
      <c r="M34" s="5"/>
      <c r="N34" s="5"/>
      <c r="O34" s="58">
        <f t="shared" si="1"/>
        <v>0</v>
      </c>
      <c r="P34" s="12">
        <f t="shared" si="6"/>
        <v>0</v>
      </c>
    </row>
    <row r="35" spans="1:16" s="1" customFormat="1" ht="143" customHeight="1" x14ac:dyDescent="0.35">
      <c r="A35" s="9" t="s">
        <v>105</v>
      </c>
      <c r="B35" s="9" t="s">
        <v>106</v>
      </c>
      <c r="C35" s="10" t="s">
        <v>95</v>
      </c>
      <c r="D35" s="11">
        <v>9.6180000000000003</v>
      </c>
      <c r="E35" s="53"/>
      <c r="F35" s="53"/>
      <c r="G35" s="53"/>
      <c r="H35" s="13"/>
      <c r="I35" s="13"/>
      <c r="J35" s="5"/>
      <c r="K35" s="5"/>
      <c r="L35" s="5"/>
      <c r="M35" s="5"/>
      <c r="N35" s="5"/>
      <c r="O35" s="58">
        <f t="shared" si="1"/>
        <v>0</v>
      </c>
      <c r="P35" s="12">
        <f t="shared" si="6"/>
        <v>0</v>
      </c>
    </row>
    <row r="36" spans="1:16" s="1" customFormat="1" ht="195" customHeight="1" x14ac:dyDescent="0.35">
      <c r="A36" s="9" t="s">
        <v>7</v>
      </c>
      <c r="B36" s="9" t="s">
        <v>54</v>
      </c>
      <c r="C36" s="10" t="s">
        <v>95</v>
      </c>
      <c r="D36" s="11">
        <v>9.6180000000000003</v>
      </c>
      <c r="E36" s="53"/>
      <c r="F36" s="53"/>
      <c r="G36" s="53"/>
      <c r="H36" s="13"/>
      <c r="I36" s="13"/>
      <c r="J36" s="5"/>
      <c r="K36" s="5"/>
      <c r="L36" s="5"/>
      <c r="M36" s="5"/>
      <c r="N36" s="5"/>
      <c r="O36" s="58">
        <f t="shared" si="1"/>
        <v>0</v>
      </c>
      <c r="P36" s="12">
        <f t="shared" si="6"/>
        <v>0</v>
      </c>
    </row>
    <row r="37" spans="1:16" s="1" customFormat="1" ht="160" customHeight="1" x14ac:dyDescent="0.35">
      <c r="A37" s="9" t="s">
        <v>143</v>
      </c>
      <c r="B37" s="9" t="s">
        <v>152</v>
      </c>
      <c r="C37" s="10" t="s">
        <v>9</v>
      </c>
      <c r="D37" s="11">
        <v>6.6220000000000008</v>
      </c>
      <c r="E37" s="53"/>
      <c r="F37" s="53"/>
      <c r="G37" s="53"/>
      <c r="H37" s="13"/>
      <c r="I37" s="5"/>
      <c r="J37" s="5"/>
      <c r="K37" s="5"/>
      <c r="L37" s="5"/>
      <c r="M37" s="5"/>
      <c r="N37" s="5"/>
      <c r="O37" s="58">
        <f t="shared" si="1"/>
        <v>0</v>
      </c>
      <c r="P37" s="12">
        <f t="shared" si="6"/>
        <v>0</v>
      </c>
    </row>
    <row r="38" spans="1:16" s="1" customFormat="1" ht="160" customHeight="1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53"/>
      <c r="F38" s="53"/>
      <c r="G38" s="53"/>
      <c r="H38" s="13"/>
      <c r="I38" s="5"/>
      <c r="J38" s="5"/>
      <c r="K38" s="5"/>
      <c r="L38" s="5"/>
      <c r="M38" s="5"/>
      <c r="N38" s="5"/>
      <c r="O38" s="58">
        <f t="shared" si="1"/>
        <v>0</v>
      </c>
      <c r="P38" s="12">
        <f t="shared" si="6"/>
        <v>0</v>
      </c>
    </row>
    <row r="39" spans="1:16" s="1" customFormat="1" ht="188" customHeight="1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53"/>
      <c r="F39" s="53"/>
      <c r="G39" s="53"/>
      <c r="H39" s="13"/>
      <c r="I39" s="5"/>
      <c r="J39" s="5"/>
      <c r="K39" s="5"/>
      <c r="L39" s="5"/>
      <c r="M39" s="5"/>
      <c r="N39" s="5"/>
      <c r="O39" s="58">
        <f t="shared" si="1"/>
        <v>0</v>
      </c>
      <c r="P39" s="12">
        <f t="shared" si="6"/>
        <v>0</v>
      </c>
    </row>
    <row r="40" spans="1:16" s="1" customFormat="1" ht="170" customHeight="1" x14ac:dyDescent="0.2">
      <c r="A40" s="9" t="s">
        <v>117</v>
      </c>
      <c r="B40" s="9" t="s">
        <v>98</v>
      </c>
      <c r="C40" s="10" t="s">
        <v>9</v>
      </c>
      <c r="D40" s="11">
        <v>7.22</v>
      </c>
      <c r="E40" s="53"/>
      <c r="F40" s="53"/>
      <c r="G40" s="53"/>
      <c r="H40" s="13"/>
      <c r="I40" s="5"/>
      <c r="J40" s="5"/>
      <c r="K40" s="5"/>
      <c r="L40" s="5"/>
      <c r="M40" s="5"/>
      <c r="N40" s="5"/>
      <c r="O40" s="58">
        <f t="shared" si="1"/>
        <v>0</v>
      </c>
      <c r="P40" s="12">
        <f t="shared" si="6"/>
        <v>0</v>
      </c>
    </row>
    <row r="41" spans="1:16" s="1" customFormat="1" ht="170" customHeight="1" x14ac:dyDescent="0.2">
      <c r="A41" s="9" t="s">
        <v>11</v>
      </c>
      <c r="B41" s="9" t="s">
        <v>57</v>
      </c>
      <c r="C41" s="10" t="s">
        <v>9</v>
      </c>
      <c r="D41" s="11">
        <v>5.16</v>
      </c>
      <c r="E41" s="53"/>
      <c r="F41" s="53"/>
      <c r="G41" s="53"/>
      <c r="H41" s="13"/>
      <c r="I41" s="5"/>
      <c r="J41" s="5"/>
      <c r="K41" s="5"/>
      <c r="L41" s="5"/>
      <c r="M41" s="5"/>
      <c r="N41" s="5"/>
      <c r="O41" s="58">
        <f t="shared" si="1"/>
        <v>0</v>
      </c>
      <c r="P41" s="12">
        <f t="shared" si="6"/>
        <v>0</v>
      </c>
    </row>
    <row r="42" spans="1:16" s="1" customFormat="1" ht="136" customHeight="1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53"/>
      <c r="F42" s="53"/>
      <c r="G42" s="53"/>
      <c r="H42" s="13"/>
      <c r="I42" s="13"/>
      <c r="J42" s="5"/>
      <c r="K42" s="5"/>
      <c r="L42" s="5"/>
      <c r="M42" s="5"/>
      <c r="N42" s="5"/>
      <c r="O42" s="58">
        <f t="shared" si="1"/>
        <v>0</v>
      </c>
      <c r="P42" s="12">
        <f t="shared" si="6"/>
        <v>0</v>
      </c>
    </row>
    <row r="43" spans="1:16" s="1" customFormat="1" ht="142" customHeight="1" x14ac:dyDescent="0.2">
      <c r="A43" s="9" t="s">
        <v>115</v>
      </c>
      <c r="B43" s="9" t="s">
        <v>58</v>
      </c>
      <c r="C43" s="10" t="s">
        <v>9</v>
      </c>
      <c r="D43" s="11">
        <v>7.22</v>
      </c>
      <c r="E43" s="53"/>
      <c r="F43" s="53"/>
      <c r="G43" s="53"/>
      <c r="H43" s="13"/>
      <c r="I43" s="13"/>
      <c r="J43" s="5"/>
      <c r="K43" s="5"/>
      <c r="L43" s="5"/>
      <c r="M43" s="5"/>
      <c r="N43" s="5"/>
      <c r="O43" s="58">
        <f t="shared" si="1"/>
        <v>0</v>
      </c>
      <c r="P43" s="12">
        <f t="shared" si="6"/>
        <v>0</v>
      </c>
    </row>
    <row r="44" spans="1:16" s="1" customFormat="1" ht="136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53"/>
      <c r="F44" s="53"/>
      <c r="G44" s="53"/>
      <c r="H44" s="13"/>
      <c r="I44" s="5"/>
      <c r="J44" s="5">
        <f>18*J3</f>
        <v>0</v>
      </c>
      <c r="K44" s="5">
        <f>18*K3</f>
        <v>0</v>
      </c>
      <c r="L44" s="5">
        <f>18*L3</f>
        <v>0</v>
      </c>
      <c r="M44" s="5"/>
      <c r="N44" s="5"/>
      <c r="O44" s="58">
        <f t="shared" si="1"/>
        <v>0</v>
      </c>
      <c r="P44" s="12">
        <f t="shared" si="6"/>
        <v>0</v>
      </c>
    </row>
    <row r="45" spans="1:16" s="1" customFormat="1" ht="180" customHeight="1" x14ac:dyDescent="0.2">
      <c r="A45" s="9" t="s">
        <v>13</v>
      </c>
      <c r="B45" s="9" t="s">
        <v>60</v>
      </c>
      <c r="C45" s="10"/>
      <c r="D45" s="11">
        <v>0.73</v>
      </c>
      <c r="E45" s="53"/>
      <c r="F45" s="53"/>
      <c r="G45" s="53"/>
      <c r="H45" s="13">
        <f>18*H3</f>
        <v>0</v>
      </c>
      <c r="I45" s="13">
        <f>18*I3</f>
        <v>0</v>
      </c>
      <c r="J45" s="5"/>
      <c r="K45" s="5"/>
      <c r="L45" s="5"/>
      <c r="M45" s="5">
        <f>18*M3</f>
        <v>0</v>
      </c>
      <c r="N45" s="5"/>
      <c r="O45" s="58">
        <f t="shared" si="1"/>
        <v>0</v>
      </c>
      <c r="P45" s="12">
        <f t="shared" si="6"/>
        <v>0</v>
      </c>
    </row>
    <row r="46" spans="1:16" s="1" customFormat="1" ht="180" customHeight="1" x14ac:dyDescent="0.2">
      <c r="A46" s="9" t="s">
        <v>135</v>
      </c>
      <c r="B46" s="9" t="s">
        <v>134</v>
      </c>
      <c r="C46" s="10"/>
      <c r="D46" s="11">
        <v>0.73</v>
      </c>
      <c r="E46" s="53">
        <f>18*E3</f>
        <v>0</v>
      </c>
      <c r="F46" s="53">
        <f>18*F3</f>
        <v>0</v>
      </c>
      <c r="G46" s="53">
        <f>18*G3</f>
        <v>0</v>
      </c>
      <c r="H46" s="13"/>
      <c r="I46" s="13"/>
      <c r="J46" s="5"/>
      <c r="K46" s="5"/>
      <c r="L46" s="5"/>
      <c r="M46" s="5"/>
      <c r="N46" s="5"/>
      <c r="O46" s="58">
        <f t="shared" si="1"/>
        <v>0</v>
      </c>
      <c r="P46" s="12">
        <f t="shared" si="6"/>
        <v>0</v>
      </c>
    </row>
    <row r="47" spans="1:16" s="1" customFormat="1" ht="198" customHeight="1" x14ac:dyDescent="0.2">
      <c r="A47" s="14" t="s">
        <v>14</v>
      </c>
      <c r="B47" s="14" t="s">
        <v>61</v>
      </c>
      <c r="C47" s="10"/>
      <c r="D47" s="11">
        <v>1.8620000000000001</v>
      </c>
      <c r="E47" s="53"/>
      <c r="F47" s="53"/>
      <c r="G47" s="53"/>
      <c r="H47" s="13"/>
      <c r="I47" s="5"/>
      <c r="J47" s="5"/>
      <c r="K47" s="5"/>
      <c r="L47" s="5"/>
      <c r="M47" s="5"/>
      <c r="N47" s="5"/>
      <c r="O47" s="58">
        <f t="shared" si="1"/>
        <v>0</v>
      </c>
      <c r="P47" s="12">
        <f t="shared" si="6"/>
        <v>0</v>
      </c>
    </row>
    <row r="48" spans="1:16" s="1" customFormat="1" ht="128" customHeight="1" x14ac:dyDescent="0.2">
      <c r="A48" s="14" t="s">
        <v>15</v>
      </c>
      <c r="B48" s="14" t="s">
        <v>62</v>
      </c>
      <c r="C48" s="10"/>
      <c r="D48" s="11">
        <v>0.96600000000000008</v>
      </c>
      <c r="E48" s="53"/>
      <c r="F48" s="53"/>
      <c r="G48" s="53">
        <f>1*G3</f>
        <v>0</v>
      </c>
      <c r="H48" s="13"/>
      <c r="I48" s="5"/>
      <c r="J48" s="5"/>
      <c r="K48" s="5"/>
      <c r="L48" s="5">
        <f>1*L3</f>
        <v>0</v>
      </c>
      <c r="M48" s="5">
        <f>1*M3</f>
        <v>0</v>
      </c>
      <c r="N48" s="5"/>
      <c r="O48" s="58">
        <f t="shared" si="1"/>
        <v>0</v>
      </c>
      <c r="P48" s="12">
        <f t="shared" si="6"/>
        <v>0</v>
      </c>
    </row>
    <row r="49" spans="1:40" s="1" customFormat="1" ht="126" customHeight="1" x14ac:dyDescent="0.2">
      <c r="A49" s="14" t="s">
        <v>16</v>
      </c>
      <c r="B49" s="14" t="s">
        <v>63</v>
      </c>
      <c r="C49" s="10"/>
      <c r="D49" s="11">
        <v>0.83</v>
      </c>
      <c r="E49" s="53">
        <f>1*E3</f>
        <v>0</v>
      </c>
      <c r="F49" s="53">
        <f>1*F3</f>
        <v>0</v>
      </c>
      <c r="G49" s="53"/>
      <c r="H49" s="13">
        <f>1*H3</f>
        <v>0</v>
      </c>
      <c r="I49" s="13">
        <f>1*I3</f>
        <v>0</v>
      </c>
      <c r="J49" s="13">
        <f>1*J3</f>
        <v>0</v>
      </c>
      <c r="K49" s="13">
        <f>1*K3</f>
        <v>0</v>
      </c>
      <c r="L49" s="5"/>
      <c r="M49" s="5"/>
      <c r="N49" s="5"/>
      <c r="O49" s="58">
        <f t="shared" si="1"/>
        <v>0</v>
      </c>
      <c r="P49" s="12">
        <f t="shared" si="6"/>
        <v>0</v>
      </c>
    </row>
    <row r="50" spans="1:40" s="1" customFormat="1" ht="108" customHeight="1" x14ac:dyDescent="0.2">
      <c r="A50" s="14" t="s">
        <v>17</v>
      </c>
      <c r="B50" s="14" t="s">
        <v>64</v>
      </c>
      <c r="C50" s="10"/>
      <c r="D50" s="11">
        <v>10.497199999999999</v>
      </c>
      <c r="E50" s="53">
        <f>2*E3</f>
        <v>0</v>
      </c>
      <c r="F50" s="53">
        <f>1*F3</f>
        <v>0</v>
      </c>
      <c r="G50" s="53">
        <f>2*G3</f>
        <v>0</v>
      </c>
      <c r="H50" s="13">
        <f>2*H3</f>
        <v>0</v>
      </c>
      <c r="I50" s="13">
        <f>1*I3</f>
        <v>0</v>
      </c>
      <c r="J50" s="13">
        <f>2*J3</f>
        <v>0</v>
      </c>
      <c r="K50" s="13">
        <f>1*K3</f>
        <v>0</v>
      </c>
      <c r="L50" s="5">
        <f>2*L3</f>
        <v>0</v>
      </c>
      <c r="M50" s="5">
        <f>2*M3</f>
        <v>0</v>
      </c>
      <c r="N50" s="5"/>
      <c r="O50" s="58">
        <f t="shared" si="1"/>
        <v>0</v>
      </c>
      <c r="P50" s="12">
        <f t="shared" si="6"/>
        <v>0</v>
      </c>
    </row>
    <row r="51" spans="1:40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E51" s="53"/>
      <c r="F51" s="53"/>
      <c r="G51" s="53"/>
      <c r="H51" s="5"/>
      <c r="I51" s="5"/>
      <c r="J51" s="5"/>
      <c r="K51" s="5"/>
      <c r="L51" s="5"/>
      <c r="M51" s="5"/>
      <c r="N51" s="5"/>
      <c r="O51" s="58">
        <f t="shared" si="1"/>
        <v>0</v>
      </c>
      <c r="P51" s="12">
        <f t="shared" si="6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s="1" customFormat="1" ht="32" x14ac:dyDescent="0.2">
      <c r="A52" s="14" t="s">
        <v>175</v>
      </c>
      <c r="B52" s="48" t="s">
        <v>191</v>
      </c>
      <c r="C52" s="10"/>
      <c r="D52" s="11">
        <v>6.78</v>
      </c>
      <c r="E52" s="53"/>
      <c r="F52" s="53"/>
      <c r="G52" s="53"/>
      <c r="H52" s="5"/>
      <c r="I52" s="5"/>
      <c r="J52" s="5"/>
      <c r="K52" s="5"/>
      <c r="L52" s="5"/>
      <c r="M52" s="5"/>
      <c r="N52" s="5"/>
      <c r="O52" s="58">
        <f t="shared" si="1"/>
        <v>0</v>
      </c>
      <c r="P52" s="12">
        <f t="shared" ref="P52:P83" si="9">D52*O52</f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s="1" customFormat="1" ht="108" customHeight="1" x14ac:dyDescent="0.2">
      <c r="A53" s="14" t="s">
        <v>18</v>
      </c>
      <c r="B53" s="14" t="s">
        <v>65</v>
      </c>
      <c r="C53" s="10"/>
      <c r="D53" s="11">
        <v>6.78</v>
      </c>
      <c r="E53" s="53"/>
      <c r="F53" s="53"/>
      <c r="G53" s="53"/>
      <c r="H53" s="13"/>
      <c r="I53" s="5"/>
      <c r="J53" s="5"/>
      <c r="K53" s="5"/>
      <c r="L53" s="5"/>
      <c r="M53" s="5"/>
      <c r="N53" s="5"/>
      <c r="O53" s="58">
        <f t="shared" si="1"/>
        <v>0</v>
      </c>
      <c r="P53" s="12">
        <f t="shared" si="9"/>
        <v>0</v>
      </c>
    </row>
    <row r="54" spans="1:40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E54" s="53"/>
      <c r="F54" s="53"/>
      <c r="G54" s="53"/>
      <c r="H54" s="13"/>
      <c r="I54" s="5"/>
      <c r="J54" s="5">
        <f>2*J3</f>
        <v>0</v>
      </c>
      <c r="K54" s="5">
        <f>1*K3</f>
        <v>0</v>
      </c>
      <c r="L54" s="5">
        <f>2*L3</f>
        <v>0</v>
      </c>
      <c r="M54" s="5"/>
      <c r="N54" s="5"/>
      <c r="O54" s="58">
        <f t="shared" si="1"/>
        <v>0</v>
      </c>
      <c r="P54" s="12">
        <f t="shared" si="9"/>
        <v>0</v>
      </c>
    </row>
    <row r="55" spans="1:40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53"/>
      <c r="F55" s="53"/>
      <c r="G55" s="53"/>
      <c r="H55" s="13">
        <f>2*H3</f>
        <v>0</v>
      </c>
      <c r="I55" s="13">
        <f>1*I3</f>
        <v>0</v>
      </c>
      <c r="J55" s="13"/>
      <c r="K55" s="13"/>
      <c r="L55" s="5"/>
      <c r="M55" s="5">
        <f>2*M3</f>
        <v>0</v>
      </c>
      <c r="N55" s="5"/>
      <c r="O55" s="58">
        <f t="shared" si="1"/>
        <v>0</v>
      </c>
      <c r="P55" s="12">
        <f t="shared" si="9"/>
        <v>0</v>
      </c>
    </row>
    <row r="56" spans="1:40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E56" s="53">
        <f>2*E3</f>
        <v>0</v>
      </c>
      <c r="F56" s="53">
        <f>1*E3</f>
        <v>0</v>
      </c>
      <c r="G56" s="53">
        <f>2*G3</f>
        <v>0</v>
      </c>
      <c r="H56" s="13"/>
      <c r="I56" s="13"/>
      <c r="J56" s="13"/>
      <c r="K56" s="5"/>
      <c r="L56" s="12"/>
      <c r="O56" s="58">
        <f t="shared" si="1"/>
        <v>0</v>
      </c>
      <c r="P56" s="12">
        <f t="shared" si="9"/>
        <v>0</v>
      </c>
    </row>
    <row r="57" spans="1:40" s="1" customFormat="1" ht="162" customHeight="1" x14ac:dyDescent="0.2">
      <c r="A57" s="14" t="s">
        <v>22</v>
      </c>
      <c r="B57" s="14" t="s">
        <v>70</v>
      </c>
      <c r="C57" s="10"/>
      <c r="D57" s="11">
        <v>0.15512465373961221</v>
      </c>
      <c r="E57" s="53">
        <f>2*E3</f>
        <v>0</v>
      </c>
      <c r="F57" s="53">
        <f>1*F3</f>
        <v>0</v>
      </c>
      <c r="G57" s="53">
        <f>2*G3</f>
        <v>0</v>
      </c>
      <c r="H57" s="13">
        <f>2*H3</f>
        <v>0</v>
      </c>
      <c r="I57" s="13">
        <f>1*I3</f>
        <v>0</v>
      </c>
      <c r="J57" s="13">
        <f>2*J3</f>
        <v>0</v>
      </c>
      <c r="K57" s="13">
        <f>1*K3</f>
        <v>0</v>
      </c>
      <c r="L57" s="5">
        <f>2*L3</f>
        <v>0</v>
      </c>
      <c r="M57" s="5">
        <f>2*M3</f>
        <v>0</v>
      </c>
      <c r="N57" s="5"/>
      <c r="O57" s="58">
        <f t="shared" si="1"/>
        <v>0</v>
      </c>
      <c r="P57" s="12">
        <f t="shared" si="9"/>
        <v>0</v>
      </c>
    </row>
    <row r="58" spans="1:40" s="1" customFormat="1" ht="164" customHeight="1" x14ac:dyDescent="0.2">
      <c r="A58" s="14" t="s">
        <v>23</v>
      </c>
      <c r="B58" s="14" t="s">
        <v>69</v>
      </c>
      <c r="C58" s="10"/>
      <c r="D58" s="11">
        <v>0.27922437673130196</v>
      </c>
      <c r="E58" s="53">
        <f>2*E3</f>
        <v>0</v>
      </c>
      <c r="F58" s="53">
        <f>1*F3</f>
        <v>0</v>
      </c>
      <c r="G58" s="53">
        <f>2*G3</f>
        <v>0</v>
      </c>
      <c r="H58" s="13">
        <f>2*H3</f>
        <v>0</v>
      </c>
      <c r="I58" s="13">
        <f>1*I3</f>
        <v>0</v>
      </c>
      <c r="J58" s="13">
        <f>2*J3</f>
        <v>0</v>
      </c>
      <c r="K58" s="13">
        <f>1*K3</f>
        <v>0</v>
      </c>
      <c r="L58" s="5">
        <f>2*L3</f>
        <v>0</v>
      </c>
      <c r="M58" s="5">
        <f>2*M3</f>
        <v>0</v>
      </c>
      <c r="N58" s="5"/>
      <c r="O58" s="58">
        <f t="shared" si="1"/>
        <v>0</v>
      </c>
      <c r="P58" s="12">
        <f t="shared" si="9"/>
        <v>0</v>
      </c>
    </row>
    <row r="59" spans="1:40" s="1" customFormat="1" ht="174" customHeight="1" x14ac:dyDescent="0.2">
      <c r="A59" s="14" t="s">
        <v>24</v>
      </c>
      <c r="B59" s="14" t="s">
        <v>68</v>
      </c>
      <c r="C59" s="10"/>
      <c r="D59" s="11">
        <v>0.12409972299168978</v>
      </c>
      <c r="E59" s="53">
        <f>2*E3</f>
        <v>0</v>
      </c>
      <c r="F59" s="53">
        <f>1*F3</f>
        <v>0</v>
      </c>
      <c r="G59" s="13">
        <f>2*G3</f>
        <v>0</v>
      </c>
      <c r="H59" s="13">
        <f>2*H3</f>
        <v>0</v>
      </c>
      <c r="I59" s="13">
        <f>1*I3</f>
        <v>0</v>
      </c>
      <c r="J59" s="13">
        <f>2*J3</f>
        <v>0</v>
      </c>
      <c r="K59" s="13">
        <f>1*K3</f>
        <v>0</v>
      </c>
      <c r="L59" s="5">
        <f>2*L3</f>
        <v>0</v>
      </c>
      <c r="M59" s="5">
        <f>2*M3</f>
        <v>0</v>
      </c>
      <c r="N59" s="5"/>
      <c r="O59" s="58">
        <f t="shared" si="1"/>
        <v>0</v>
      </c>
      <c r="P59" s="12">
        <f t="shared" si="9"/>
        <v>0</v>
      </c>
    </row>
    <row r="60" spans="1:40" s="1" customFormat="1" ht="152" customHeight="1" x14ac:dyDescent="0.2">
      <c r="A60" s="14" t="s">
        <v>25</v>
      </c>
      <c r="B60" s="14" t="s">
        <v>71</v>
      </c>
      <c r="C60" s="10"/>
      <c r="D60" s="11">
        <v>3.1024930747922445E-2</v>
      </c>
      <c r="E60" s="53">
        <f>2*E3</f>
        <v>0</v>
      </c>
      <c r="F60" s="53">
        <f>1*F3</f>
        <v>0</v>
      </c>
      <c r="G60" s="13">
        <f>2*G3</f>
        <v>0</v>
      </c>
      <c r="H60" s="13">
        <f>2*H3</f>
        <v>0</v>
      </c>
      <c r="I60" s="13">
        <f>1*I3</f>
        <v>0</v>
      </c>
      <c r="J60" s="13">
        <f>2*J3</f>
        <v>0</v>
      </c>
      <c r="K60" s="13">
        <f>1*K3</f>
        <v>0</v>
      </c>
      <c r="L60" s="5">
        <f>2*L3</f>
        <v>0</v>
      </c>
      <c r="M60" s="5">
        <f>2*M3</f>
        <v>0</v>
      </c>
      <c r="N60" s="5"/>
      <c r="O60" s="58">
        <f t="shared" si="1"/>
        <v>0</v>
      </c>
      <c r="P60" s="12">
        <f t="shared" si="9"/>
        <v>0</v>
      </c>
    </row>
    <row r="61" spans="1:40" s="1" customFormat="1" ht="128" customHeight="1" x14ac:dyDescent="0.2">
      <c r="A61" s="14" t="s">
        <v>26</v>
      </c>
      <c r="B61" s="14" t="s">
        <v>72</v>
      </c>
      <c r="C61" s="10"/>
      <c r="D61" s="11">
        <v>3.49</v>
      </c>
      <c r="E61" s="53"/>
      <c r="F61" s="53"/>
      <c r="G61" s="53"/>
      <c r="H61" s="13"/>
      <c r="I61" s="5"/>
      <c r="J61" s="5"/>
      <c r="K61" s="5"/>
      <c r="L61" s="5"/>
      <c r="M61" s="5"/>
      <c r="N61" s="5"/>
      <c r="O61" s="58">
        <f t="shared" si="1"/>
        <v>0</v>
      </c>
      <c r="P61" s="12">
        <f t="shared" si="9"/>
        <v>0</v>
      </c>
    </row>
    <row r="62" spans="1:40" s="1" customFormat="1" ht="232" customHeight="1" x14ac:dyDescent="0.2">
      <c r="A62" s="14" t="s">
        <v>27</v>
      </c>
      <c r="B62" s="14" t="s">
        <v>73</v>
      </c>
      <c r="C62" s="10" t="s">
        <v>204</v>
      </c>
      <c r="D62" s="11">
        <v>4.8499999999999996</v>
      </c>
      <c r="E62" s="53"/>
      <c r="F62" s="53"/>
      <c r="G62" s="53"/>
      <c r="H62" s="13"/>
      <c r="I62" s="5"/>
      <c r="J62" s="5"/>
      <c r="K62" s="5"/>
      <c r="L62" s="5"/>
      <c r="M62" s="5"/>
      <c r="N62" s="5"/>
      <c r="O62" s="58">
        <f t="shared" si="1"/>
        <v>0</v>
      </c>
      <c r="P62" s="12">
        <f t="shared" si="9"/>
        <v>0</v>
      </c>
    </row>
    <row r="63" spans="1:40" s="1" customFormat="1" ht="217" customHeight="1" x14ac:dyDescent="0.2">
      <c r="A63" s="14" t="s">
        <v>28</v>
      </c>
      <c r="B63" s="14" t="s">
        <v>74</v>
      </c>
      <c r="C63" s="10" t="s">
        <v>204</v>
      </c>
      <c r="D63" s="11">
        <v>6.8</v>
      </c>
      <c r="E63" s="53"/>
      <c r="F63" s="53"/>
      <c r="G63" s="53"/>
      <c r="H63" s="13"/>
      <c r="I63" s="5"/>
      <c r="J63" s="5"/>
      <c r="K63" s="5"/>
      <c r="L63" s="5"/>
      <c r="M63" s="5"/>
      <c r="N63" s="5"/>
      <c r="O63" s="58">
        <f t="shared" si="1"/>
        <v>0</v>
      </c>
      <c r="P63" s="12">
        <f t="shared" si="9"/>
        <v>0</v>
      </c>
    </row>
    <row r="64" spans="1:40" s="1" customFormat="1" ht="126" customHeight="1" x14ac:dyDescent="0.2">
      <c r="A64" s="14" t="s">
        <v>29</v>
      </c>
      <c r="B64" s="14" t="s">
        <v>75</v>
      </c>
      <c r="C64" s="10"/>
      <c r="D64" s="11">
        <v>1.1399999999999999</v>
      </c>
      <c r="E64" s="53">
        <f>2*E3</f>
        <v>0</v>
      </c>
      <c r="F64" s="53">
        <f>1*F3</f>
        <v>0</v>
      </c>
      <c r="G64" s="13">
        <f>2*G3</f>
        <v>0</v>
      </c>
      <c r="H64" s="13">
        <f>2*H3</f>
        <v>0</v>
      </c>
      <c r="I64" s="13">
        <f>1*I3</f>
        <v>0</v>
      </c>
      <c r="J64" s="13">
        <f>2*J3</f>
        <v>0</v>
      </c>
      <c r="K64" s="13">
        <f>1*K3</f>
        <v>0</v>
      </c>
      <c r="L64" s="5">
        <f>2*L3</f>
        <v>0</v>
      </c>
      <c r="M64" s="5">
        <f>2*M3</f>
        <v>0</v>
      </c>
      <c r="N64" s="5"/>
      <c r="O64" s="58">
        <f t="shared" si="1"/>
        <v>0</v>
      </c>
      <c r="P64" s="12">
        <f t="shared" si="9"/>
        <v>0</v>
      </c>
    </row>
    <row r="65" spans="1:40" s="1" customFormat="1" ht="94" customHeight="1" x14ac:dyDescent="0.2">
      <c r="A65" s="14" t="s">
        <v>30</v>
      </c>
      <c r="B65" s="14" t="s">
        <v>76</v>
      </c>
      <c r="C65" s="10"/>
      <c r="D65" s="11">
        <v>1.22</v>
      </c>
      <c r="E65" s="53"/>
      <c r="F65" s="53"/>
      <c r="G65" s="53"/>
      <c r="H65" s="13"/>
      <c r="I65" s="5"/>
      <c r="J65" s="5"/>
      <c r="K65" s="5"/>
      <c r="L65" s="5"/>
      <c r="M65" s="5"/>
      <c r="N65" s="5"/>
      <c r="O65" s="58">
        <f t="shared" si="1"/>
        <v>0</v>
      </c>
      <c r="P65" s="12">
        <f t="shared" si="9"/>
        <v>0</v>
      </c>
    </row>
    <row r="66" spans="1:40" s="1" customFormat="1" ht="132" customHeight="1" x14ac:dyDescent="0.2">
      <c r="A66" s="14" t="s">
        <v>31</v>
      </c>
      <c r="B66" s="14" t="s">
        <v>259</v>
      </c>
      <c r="C66" s="10"/>
      <c r="D66" s="11">
        <v>2.15</v>
      </c>
      <c r="E66" s="53"/>
      <c r="F66" s="53"/>
      <c r="G66" s="53"/>
      <c r="H66" s="13"/>
      <c r="I66" s="5"/>
      <c r="J66" s="5"/>
      <c r="K66" s="5"/>
      <c r="L66" s="5"/>
      <c r="M66" s="5"/>
      <c r="N66" s="5"/>
      <c r="O66" s="58">
        <f t="shared" si="1"/>
        <v>0</v>
      </c>
      <c r="P66" s="12">
        <f t="shared" si="9"/>
        <v>0</v>
      </c>
    </row>
    <row r="67" spans="1:40" s="1" customFormat="1" ht="152" customHeight="1" x14ac:dyDescent="0.2">
      <c r="A67" s="14" t="s">
        <v>32</v>
      </c>
      <c r="B67" s="14" t="s">
        <v>77</v>
      </c>
      <c r="C67" s="10"/>
      <c r="D67" s="11">
        <v>5.5579999999999998</v>
      </c>
      <c r="E67" s="53">
        <f>1*E3</f>
        <v>0</v>
      </c>
      <c r="F67" s="53"/>
      <c r="G67" s="13">
        <f>1*G3</f>
        <v>0</v>
      </c>
      <c r="H67" s="13">
        <f>1*H3</f>
        <v>0</v>
      </c>
      <c r="I67" s="13"/>
      <c r="J67" s="13">
        <f>1*J3</f>
        <v>0</v>
      </c>
      <c r="K67" s="5"/>
      <c r="L67" s="5">
        <f>1*L3</f>
        <v>0</v>
      </c>
      <c r="M67" s="5">
        <f>1*M3</f>
        <v>0</v>
      </c>
      <c r="N67" s="5"/>
      <c r="O67" s="58">
        <f t="shared" si="1"/>
        <v>0</v>
      </c>
      <c r="P67" s="12">
        <f t="shared" si="9"/>
        <v>0</v>
      </c>
    </row>
    <row r="68" spans="1:40" s="1" customFormat="1" ht="160" customHeight="1" x14ac:dyDescent="0.2">
      <c r="A68" s="14" t="s">
        <v>33</v>
      </c>
      <c r="B68" s="14" t="s">
        <v>78</v>
      </c>
      <c r="C68" s="10"/>
      <c r="D68" s="11">
        <v>5.5579999999999998</v>
      </c>
      <c r="E68" s="53">
        <f>1*E3</f>
        <v>0</v>
      </c>
      <c r="F68" s="53"/>
      <c r="G68" s="13">
        <f>1*G3</f>
        <v>0</v>
      </c>
      <c r="H68" s="13">
        <f>1*H3</f>
        <v>0</v>
      </c>
      <c r="I68" s="13"/>
      <c r="J68" s="13">
        <f>1*J3</f>
        <v>0</v>
      </c>
      <c r="K68" s="5"/>
      <c r="L68" s="5">
        <f>1*L3</f>
        <v>0</v>
      </c>
      <c r="M68" s="5">
        <f>1*M3</f>
        <v>0</v>
      </c>
      <c r="N68" s="5"/>
      <c r="O68" s="58">
        <f t="shared" si="1"/>
        <v>0</v>
      </c>
      <c r="P68" s="12">
        <f t="shared" si="9"/>
        <v>0</v>
      </c>
    </row>
    <row r="69" spans="1:40" s="1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E69" s="53"/>
      <c r="F69" s="53"/>
      <c r="G69" s="53"/>
      <c r="H69" s="5"/>
      <c r="I69" s="5"/>
      <c r="J69" s="5"/>
      <c r="K69" s="5"/>
      <c r="L69" s="5"/>
      <c r="M69" s="5"/>
      <c r="N69" s="5"/>
      <c r="O69" s="58">
        <f t="shared" si="1"/>
        <v>0</v>
      </c>
      <c r="P69" s="12">
        <f t="shared" si="9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s="1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E70" s="53"/>
      <c r="F70" s="53"/>
      <c r="G70" s="53"/>
      <c r="H70" s="5"/>
      <c r="I70" s="5"/>
      <c r="J70" s="5"/>
      <c r="K70" s="5"/>
      <c r="L70" s="5"/>
      <c r="M70" s="5"/>
      <c r="N70" s="5"/>
      <c r="O70" s="58">
        <f t="shared" si="1"/>
        <v>0</v>
      </c>
      <c r="P70" s="12">
        <f t="shared" si="9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s="1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E71" s="53"/>
      <c r="F71" s="53"/>
      <c r="G71" s="53"/>
      <c r="O71" s="58">
        <f t="shared" si="1"/>
        <v>0</v>
      </c>
      <c r="P71" s="12">
        <f t="shared" si="9"/>
        <v>0</v>
      </c>
    </row>
    <row r="72" spans="1:40" s="1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E72" s="53"/>
      <c r="F72" s="53"/>
      <c r="G72" s="53"/>
      <c r="O72" s="58">
        <f t="shared" si="1"/>
        <v>0</v>
      </c>
      <c r="P72" s="12">
        <f t="shared" si="9"/>
        <v>0</v>
      </c>
    </row>
    <row r="73" spans="1:40" s="1" customFormat="1" ht="142" customHeight="1" x14ac:dyDescent="0.2">
      <c r="A73" s="14" t="s">
        <v>34</v>
      </c>
      <c r="B73" s="14" t="s">
        <v>79</v>
      </c>
      <c r="C73" s="10"/>
      <c r="D73" s="11">
        <v>3.3879999999999999</v>
      </c>
      <c r="E73" s="53"/>
      <c r="F73" s="53"/>
      <c r="G73" s="53"/>
      <c r="H73" s="13"/>
      <c r="I73" s="5"/>
      <c r="J73" s="5"/>
      <c r="K73" s="5"/>
      <c r="L73" s="5"/>
      <c r="M73" s="5"/>
      <c r="N73" s="5"/>
      <c r="O73" s="58">
        <f t="shared" si="1"/>
        <v>0</v>
      </c>
      <c r="P73" s="12">
        <f t="shared" si="9"/>
        <v>0</v>
      </c>
    </row>
    <row r="74" spans="1:40" s="1" customFormat="1" ht="110" customHeight="1" x14ac:dyDescent="0.2">
      <c r="A74" s="14" t="s">
        <v>35</v>
      </c>
      <c r="B74" s="14" t="s">
        <v>80</v>
      </c>
      <c r="C74" s="10"/>
      <c r="D74" s="11">
        <v>3.3879999999999999</v>
      </c>
      <c r="E74" s="53"/>
      <c r="F74" s="53"/>
      <c r="G74" s="53"/>
      <c r="H74" s="13"/>
      <c r="I74" s="5"/>
      <c r="J74" s="5"/>
      <c r="K74" s="5"/>
      <c r="L74" s="5"/>
      <c r="M74" s="5"/>
      <c r="N74" s="5"/>
      <c r="O74" s="58">
        <f t="shared" si="1"/>
        <v>0</v>
      </c>
      <c r="P74" s="12">
        <f t="shared" si="9"/>
        <v>0</v>
      </c>
    </row>
    <row r="75" spans="1:40" s="1" customFormat="1" ht="108" customHeight="1" x14ac:dyDescent="0.2">
      <c r="A75" s="14" t="s">
        <v>36</v>
      </c>
      <c r="B75" s="14" t="s">
        <v>81</v>
      </c>
      <c r="C75" s="10"/>
      <c r="D75" s="11">
        <v>2.1280000000000001</v>
      </c>
      <c r="E75" s="53"/>
      <c r="F75" s="53"/>
      <c r="G75" s="53"/>
      <c r="H75" s="13"/>
      <c r="I75" s="5"/>
      <c r="J75" s="5"/>
      <c r="K75" s="5"/>
      <c r="L75" s="5"/>
      <c r="M75" s="5"/>
      <c r="N75" s="5"/>
      <c r="O75" s="58">
        <f t="shared" ref="O75:O90" si="10">SUM(E75:M75)</f>
        <v>0</v>
      </c>
      <c r="P75" s="12">
        <f t="shared" si="9"/>
        <v>0</v>
      </c>
    </row>
    <row r="76" spans="1:40" s="1" customFormat="1" ht="132" customHeight="1" x14ac:dyDescent="0.2">
      <c r="A76" s="14" t="s">
        <v>37</v>
      </c>
      <c r="B76" s="14" t="s">
        <v>82</v>
      </c>
      <c r="C76" s="10"/>
      <c r="D76" s="11">
        <v>2.702</v>
      </c>
      <c r="E76" s="53"/>
      <c r="F76" s="53"/>
      <c r="G76" s="53"/>
      <c r="H76" s="13"/>
      <c r="I76" s="5"/>
      <c r="J76" s="5"/>
      <c r="K76" s="5"/>
      <c r="L76" s="5"/>
      <c r="M76" s="5"/>
      <c r="N76" s="5"/>
      <c r="O76" s="58">
        <f t="shared" si="10"/>
        <v>0</v>
      </c>
      <c r="P76" s="12">
        <f t="shared" si="9"/>
        <v>0</v>
      </c>
    </row>
    <row r="77" spans="1:40" s="1" customFormat="1" ht="128" customHeight="1" x14ac:dyDescent="0.2">
      <c r="A77" s="14" t="s">
        <v>38</v>
      </c>
      <c r="B77" s="14" t="s">
        <v>83</v>
      </c>
      <c r="C77" s="10"/>
      <c r="D77" s="11">
        <v>0.68599999999999994</v>
      </c>
      <c r="E77" s="53"/>
      <c r="F77" s="53"/>
      <c r="G77" s="53"/>
      <c r="H77" s="13"/>
      <c r="I77" s="5"/>
      <c r="J77" s="5">
        <f>1*J3</f>
        <v>0</v>
      </c>
      <c r="K77" s="5"/>
      <c r="L77" s="5">
        <f>1*L3</f>
        <v>0</v>
      </c>
      <c r="M77" s="5"/>
      <c r="N77" s="5"/>
      <c r="O77" s="58">
        <f t="shared" si="10"/>
        <v>0</v>
      </c>
      <c r="P77" s="12">
        <f t="shared" si="9"/>
        <v>0</v>
      </c>
    </row>
    <row r="78" spans="1:40" s="1" customFormat="1" ht="120" customHeight="1" x14ac:dyDescent="0.2">
      <c r="A78" s="14" t="s">
        <v>39</v>
      </c>
      <c r="B78" s="14" t="s">
        <v>84</v>
      </c>
      <c r="C78" s="10"/>
      <c r="D78" s="11">
        <v>0.68599999999999994</v>
      </c>
      <c r="E78" s="53"/>
      <c r="F78" s="53"/>
      <c r="G78" s="53"/>
      <c r="H78" s="13"/>
      <c r="I78" s="5"/>
      <c r="J78" s="5">
        <f>1*J3</f>
        <v>0</v>
      </c>
      <c r="K78" s="5"/>
      <c r="L78" s="5">
        <f>1*L3</f>
        <v>0</v>
      </c>
      <c r="M78" s="5"/>
      <c r="N78" s="5"/>
      <c r="O78" s="58">
        <f t="shared" si="10"/>
        <v>0</v>
      </c>
      <c r="P78" s="12">
        <f t="shared" si="9"/>
        <v>0</v>
      </c>
    </row>
    <row r="79" spans="1:40" s="1" customFormat="1" ht="132" customHeight="1" x14ac:dyDescent="0.2">
      <c r="A79" s="14" t="s">
        <v>40</v>
      </c>
      <c r="B79" s="14" t="s">
        <v>85</v>
      </c>
      <c r="C79" s="10"/>
      <c r="D79" s="11">
        <v>0.98</v>
      </c>
      <c r="E79" s="53"/>
      <c r="F79" s="53"/>
      <c r="G79" s="53"/>
      <c r="H79" s="13">
        <f>1*H3</f>
        <v>0</v>
      </c>
      <c r="I79" s="5"/>
      <c r="J79" s="5"/>
      <c r="K79" s="5"/>
      <c r="L79" s="5"/>
      <c r="M79" s="5">
        <f>1*M3</f>
        <v>0</v>
      </c>
      <c r="N79" s="5"/>
      <c r="O79" s="58">
        <f t="shared" si="10"/>
        <v>0</v>
      </c>
      <c r="P79" s="12">
        <f t="shared" si="9"/>
        <v>0</v>
      </c>
    </row>
    <row r="80" spans="1:40" s="1" customFormat="1" ht="110" customHeight="1" x14ac:dyDescent="0.2">
      <c r="A80" s="14" t="s">
        <v>41</v>
      </c>
      <c r="B80" s="15" t="s">
        <v>254</v>
      </c>
      <c r="C80" s="16"/>
      <c r="D80" s="11">
        <v>0.98</v>
      </c>
      <c r="E80" s="53"/>
      <c r="F80" s="53"/>
      <c r="G80" s="53"/>
      <c r="H80" s="13">
        <f>1*H3</f>
        <v>0</v>
      </c>
      <c r="I80" s="5"/>
      <c r="J80" s="5"/>
      <c r="K80" s="5"/>
      <c r="L80" s="5"/>
      <c r="M80" s="5">
        <f>1*M3</f>
        <v>0</v>
      </c>
      <c r="N80" s="5"/>
      <c r="O80" s="58">
        <f t="shared" si="10"/>
        <v>0</v>
      </c>
      <c r="P80" s="12">
        <f t="shared" si="9"/>
        <v>0</v>
      </c>
    </row>
    <row r="81" spans="1:40" s="1" customFormat="1" ht="230" customHeight="1" x14ac:dyDescent="0.2">
      <c r="A81" s="14" t="s">
        <v>136</v>
      </c>
      <c r="B81" s="14" t="s">
        <v>132</v>
      </c>
      <c r="C81" s="10"/>
      <c r="D81" s="11">
        <v>0.98</v>
      </c>
      <c r="E81" s="53">
        <f>1*E3</f>
        <v>0</v>
      </c>
      <c r="F81" s="53"/>
      <c r="G81" s="53">
        <f>1*G3</f>
        <v>0</v>
      </c>
      <c r="H81" s="13"/>
      <c r="I81" s="5"/>
      <c r="J81" s="5"/>
      <c r="K81" s="5"/>
      <c r="L81" s="12"/>
      <c r="O81" s="58">
        <f t="shared" si="10"/>
        <v>0</v>
      </c>
      <c r="P81" s="12">
        <f t="shared" si="9"/>
        <v>0</v>
      </c>
    </row>
    <row r="82" spans="1:40" s="1" customFormat="1" ht="236" customHeight="1" x14ac:dyDescent="0.2">
      <c r="A82" s="14" t="s">
        <v>137</v>
      </c>
      <c r="B82" s="14" t="s">
        <v>133</v>
      </c>
      <c r="C82" s="10"/>
      <c r="D82" s="11">
        <v>0.68599999999999994</v>
      </c>
      <c r="E82" s="53">
        <f>1*E3</f>
        <v>0</v>
      </c>
      <c r="F82" s="53"/>
      <c r="G82" s="53">
        <f>1*G3</f>
        <v>0</v>
      </c>
      <c r="H82" s="13"/>
      <c r="I82" s="5"/>
      <c r="J82" s="5"/>
      <c r="K82" s="5"/>
      <c r="L82" s="12"/>
      <c r="O82" s="58">
        <f t="shared" si="10"/>
        <v>0</v>
      </c>
      <c r="P82" s="12">
        <f t="shared" si="9"/>
        <v>0</v>
      </c>
    </row>
    <row r="83" spans="1:40" s="1" customFormat="1" ht="160" x14ac:dyDescent="0.2">
      <c r="A83" s="10" t="s">
        <v>154</v>
      </c>
      <c r="B83" s="10" t="s">
        <v>155</v>
      </c>
      <c r="C83" s="10"/>
      <c r="D83" s="11">
        <v>19.137999999999998</v>
      </c>
      <c r="E83" s="53"/>
      <c r="F83" s="53"/>
      <c r="G83" s="53"/>
      <c r="H83" s="5"/>
      <c r="I83" s="5"/>
      <c r="J83" s="5"/>
      <c r="K83" s="5"/>
      <c r="L83" s="5"/>
      <c r="M83" s="5"/>
      <c r="N83" s="5"/>
      <c r="O83" s="58">
        <f t="shared" si="10"/>
        <v>0</v>
      </c>
      <c r="P83" s="25">
        <f t="shared" si="9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s="1" customFormat="1" ht="409" customHeight="1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53"/>
      <c r="F84" s="53"/>
      <c r="G84" s="53"/>
      <c r="H84" s="5"/>
      <c r="I84" s="5"/>
      <c r="J84" s="5"/>
      <c r="K84" s="5"/>
      <c r="L84" s="5"/>
      <c r="M84" s="5"/>
      <c r="N84" s="5"/>
      <c r="O84" s="58">
        <f t="shared" si="10"/>
        <v>0</v>
      </c>
      <c r="P84" s="25">
        <f t="shared" ref="P84:P90" si="11">D84*O84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s="1" customFormat="1" ht="409" customHeight="1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53"/>
      <c r="F85" s="53"/>
      <c r="G85" s="53"/>
      <c r="H85" s="5"/>
      <c r="I85" s="5"/>
      <c r="J85" s="5"/>
      <c r="K85" s="5"/>
      <c r="L85" s="5"/>
      <c r="M85" s="5"/>
      <c r="N85" s="5"/>
      <c r="O85" s="58">
        <f t="shared" si="10"/>
        <v>0</v>
      </c>
      <c r="P85" s="25">
        <f t="shared" si="11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s="1" customFormat="1" ht="384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53"/>
      <c r="F86" s="53"/>
      <c r="G86" s="53"/>
      <c r="H86" s="5"/>
      <c r="I86" s="5"/>
      <c r="J86" s="5"/>
      <c r="K86" s="5"/>
      <c r="L86" s="5"/>
      <c r="M86" s="5"/>
      <c r="N86" s="5"/>
      <c r="O86" s="58">
        <f t="shared" si="10"/>
        <v>0</v>
      </c>
      <c r="P86" s="25">
        <f t="shared" si="11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s="1" customFormat="1" ht="160" x14ac:dyDescent="0.2">
      <c r="A87" s="14" t="s">
        <v>180</v>
      </c>
      <c r="B87" s="10" t="s">
        <v>181</v>
      </c>
      <c r="C87" s="10"/>
      <c r="D87" s="11">
        <v>0.75</v>
      </c>
      <c r="E87" s="53"/>
      <c r="F87" s="53"/>
      <c r="G87" s="53"/>
      <c r="O87" s="58">
        <f t="shared" si="10"/>
        <v>0</v>
      </c>
      <c r="P87" s="25">
        <f t="shared" si="11"/>
        <v>0</v>
      </c>
    </row>
    <row r="88" spans="1:40" s="1" customFormat="1" ht="160" x14ac:dyDescent="0.2">
      <c r="A88" s="14" t="s">
        <v>182</v>
      </c>
      <c r="B88" s="10" t="s">
        <v>183</v>
      </c>
      <c r="C88" s="10"/>
      <c r="D88" s="11">
        <v>0.75</v>
      </c>
      <c r="E88" s="53"/>
      <c r="F88" s="53"/>
      <c r="G88" s="53"/>
      <c r="O88" s="58">
        <f t="shared" si="10"/>
        <v>0</v>
      </c>
      <c r="P88" s="25">
        <f t="shared" si="11"/>
        <v>0</v>
      </c>
    </row>
    <row r="89" spans="1:40" s="1" customFormat="1" ht="160" x14ac:dyDescent="0.2">
      <c r="A89" s="14" t="s">
        <v>184</v>
      </c>
      <c r="B89" s="10" t="s">
        <v>185</v>
      </c>
      <c r="C89" s="10"/>
      <c r="D89" s="11">
        <v>0.75</v>
      </c>
      <c r="E89" s="53"/>
      <c r="F89" s="53"/>
      <c r="G89" s="53"/>
      <c r="O89" s="58">
        <f t="shared" si="10"/>
        <v>0</v>
      </c>
      <c r="P89" s="25">
        <f t="shared" si="11"/>
        <v>0</v>
      </c>
    </row>
    <row r="90" spans="1:40" s="1" customFormat="1" ht="160" x14ac:dyDescent="0.2">
      <c r="A90" s="14" t="s">
        <v>186</v>
      </c>
      <c r="B90" s="14" t="s">
        <v>256</v>
      </c>
      <c r="C90" s="10"/>
      <c r="D90" s="11">
        <v>0.75</v>
      </c>
      <c r="E90" s="53"/>
      <c r="F90" s="53"/>
      <c r="G90" s="53"/>
      <c r="O90" s="58">
        <f t="shared" si="10"/>
        <v>0</v>
      </c>
      <c r="P90" s="25">
        <f t="shared" si="11"/>
        <v>0</v>
      </c>
    </row>
    <row r="91" spans="1:40" ht="68" customHeight="1" x14ac:dyDescent="0.2"/>
    <row r="92" spans="1:40" s="24" customFormat="1" ht="76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6DA3-ECCE-3847-B308-2AD2F84F59C5}">
  <dimension ref="A1:AM92"/>
  <sheetViews>
    <sheetView topLeftCell="A81" zoomScale="60" zoomScaleNormal="60" workbookViewId="0">
      <selection activeCell="G68" sqref="G68"/>
    </sheetView>
  </sheetViews>
  <sheetFormatPr baseColWidth="10" defaultRowHeight="16" x14ac:dyDescent="0.2"/>
  <cols>
    <col min="1" max="1" width="44.83203125" customWidth="1"/>
    <col min="2" max="2" width="47.1640625" customWidth="1"/>
    <col min="3" max="3" width="37.1640625" customWidth="1"/>
    <col min="4" max="4" width="46" customWidth="1"/>
    <col min="5" max="5" width="68" customWidth="1"/>
    <col min="6" max="6" width="49" customWidth="1"/>
    <col min="7" max="7" width="34.33203125" customWidth="1"/>
    <col min="8" max="8" width="5.1640625" customWidth="1"/>
    <col min="9" max="9" width="4.1640625" customWidth="1"/>
    <col min="10" max="10" width="3" customWidth="1"/>
    <col min="11" max="11" width="4" customWidth="1"/>
    <col min="12" max="12" width="3.6640625" customWidth="1"/>
    <col min="13" max="14" width="4" customWidth="1"/>
    <col min="15" max="16" width="24.5" customWidth="1"/>
  </cols>
  <sheetData>
    <row r="1" spans="1:16" s="6" customFormat="1" ht="321" customHeight="1" x14ac:dyDescent="0.55000000000000004">
      <c r="A1" s="2" t="s">
        <v>88</v>
      </c>
      <c r="B1" s="2" t="s">
        <v>89</v>
      </c>
      <c r="C1" s="3" t="s">
        <v>86</v>
      </c>
      <c r="D1" s="3" t="s">
        <v>87</v>
      </c>
      <c r="E1" s="4" t="s">
        <v>138</v>
      </c>
      <c r="F1" s="4" t="s">
        <v>139</v>
      </c>
      <c r="G1" s="4" t="s">
        <v>140</v>
      </c>
      <c r="H1" s="4"/>
      <c r="I1" s="4"/>
      <c r="J1" s="4"/>
      <c r="K1" s="4"/>
      <c r="L1" s="4"/>
      <c r="M1" s="4"/>
      <c r="N1" s="4"/>
      <c r="O1" s="5"/>
      <c r="P1" s="1"/>
    </row>
    <row r="2" spans="1:16" s="73" customFormat="1" ht="107" customHeight="1" x14ac:dyDescent="0.2">
      <c r="A2" s="67"/>
      <c r="B2" s="67"/>
      <c r="C2" s="68"/>
      <c r="D2" s="69" t="s">
        <v>127</v>
      </c>
      <c r="E2" s="70">
        <v>8</v>
      </c>
      <c r="F2" s="70">
        <v>8</v>
      </c>
      <c r="G2" s="70">
        <v>8</v>
      </c>
      <c r="H2" s="70"/>
      <c r="I2" s="70"/>
      <c r="J2" s="70"/>
      <c r="K2" s="70"/>
      <c r="L2" s="70"/>
      <c r="M2" s="70"/>
      <c r="N2" s="70"/>
      <c r="O2" s="71"/>
      <c r="P2" s="72"/>
    </row>
    <row r="3" spans="1:16" s="74" customFormat="1" ht="117" customHeight="1" x14ac:dyDescent="0.2">
      <c r="A3" s="2"/>
      <c r="B3" s="2"/>
      <c r="C3" s="3"/>
      <c r="D3" s="3" t="s">
        <v>126</v>
      </c>
      <c r="E3" s="7">
        <v>0</v>
      </c>
      <c r="F3" s="7">
        <v>0</v>
      </c>
      <c r="G3" s="7">
        <v>0</v>
      </c>
      <c r="H3" s="7"/>
      <c r="I3" s="7"/>
      <c r="J3" s="7"/>
      <c r="K3" s="7"/>
      <c r="L3" s="7"/>
      <c r="M3" s="7"/>
      <c r="N3" s="7"/>
      <c r="O3" s="7" t="s">
        <v>114</v>
      </c>
      <c r="P3" s="24" t="s">
        <v>118</v>
      </c>
    </row>
    <row r="4" spans="1:16" s="6" customFormat="1" ht="64" x14ac:dyDescent="0.55000000000000004">
      <c r="A4" s="9" t="s">
        <v>108</v>
      </c>
      <c r="B4" s="9" t="s">
        <v>42</v>
      </c>
      <c r="C4" s="10"/>
      <c r="D4" s="11">
        <v>3.2071200000000002</v>
      </c>
      <c r="E4" s="5"/>
      <c r="F4" s="5"/>
      <c r="G4" s="5"/>
      <c r="H4" s="5"/>
      <c r="I4" s="5"/>
      <c r="J4" s="5"/>
      <c r="K4" s="5"/>
      <c r="L4" s="5"/>
      <c r="M4" s="5"/>
      <c r="N4" s="5"/>
      <c r="O4" s="5">
        <f t="shared" ref="O4:O74" si="0">SUM(E4:G4)</f>
        <v>0</v>
      </c>
      <c r="P4" s="12">
        <f t="shared" ref="P4:P18" si="1">D4*O4</f>
        <v>0</v>
      </c>
    </row>
    <row r="5" spans="1:16" s="6" customFormat="1" ht="64" x14ac:dyDescent="0.55000000000000004">
      <c r="A5" s="9" t="s">
        <v>109</v>
      </c>
      <c r="B5" s="9" t="s">
        <v>43</v>
      </c>
      <c r="C5" s="10"/>
      <c r="D5" s="11">
        <v>4.1087199999999999</v>
      </c>
      <c r="E5" s="5"/>
      <c r="F5" s="5"/>
      <c r="G5" s="5"/>
      <c r="H5" s="5"/>
      <c r="I5" s="5"/>
      <c r="J5" s="5"/>
      <c r="K5" s="5"/>
      <c r="L5" s="5"/>
      <c r="M5" s="5"/>
      <c r="N5" s="5"/>
      <c r="O5" s="5">
        <f t="shared" si="0"/>
        <v>0</v>
      </c>
      <c r="P5" s="12">
        <f t="shared" si="1"/>
        <v>0</v>
      </c>
    </row>
    <row r="6" spans="1:16" s="6" customFormat="1" ht="64" x14ac:dyDescent="0.55000000000000004">
      <c r="A6" s="9" t="s">
        <v>110</v>
      </c>
      <c r="B6" s="9" t="s">
        <v>44</v>
      </c>
      <c r="C6" s="10"/>
      <c r="D6" s="11">
        <v>3.47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5">
        <f t="shared" si="0"/>
        <v>0</v>
      </c>
      <c r="P6" s="12">
        <f t="shared" si="1"/>
        <v>0</v>
      </c>
    </row>
    <row r="7" spans="1:16" s="6" customFormat="1" ht="64" x14ac:dyDescent="0.55000000000000004">
      <c r="A7" s="9" t="s">
        <v>111</v>
      </c>
      <c r="B7" s="9" t="s">
        <v>45</v>
      </c>
      <c r="C7" s="10"/>
      <c r="D7" s="11">
        <v>4.2699999999999996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5">
        <f t="shared" si="0"/>
        <v>0</v>
      </c>
      <c r="P7" s="12">
        <f t="shared" si="1"/>
        <v>0</v>
      </c>
    </row>
    <row r="8" spans="1:16" s="6" customFormat="1" ht="166" customHeight="1" x14ac:dyDescent="0.55000000000000004">
      <c r="A8" s="9" t="s">
        <v>112</v>
      </c>
      <c r="B8" s="9" t="s">
        <v>46</v>
      </c>
      <c r="C8" s="10"/>
      <c r="D8" s="11">
        <v>6.23</v>
      </c>
      <c r="E8" s="13">
        <f>4*E3</f>
        <v>0</v>
      </c>
      <c r="F8" s="13">
        <f t="shared" ref="F8:G8" si="2">4*F3</f>
        <v>0</v>
      </c>
      <c r="G8" s="13">
        <f t="shared" si="2"/>
        <v>0</v>
      </c>
      <c r="H8" s="13"/>
      <c r="I8" s="13"/>
      <c r="J8" s="13"/>
      <c r="K8" s="13"/>
      <c r="L8" s="13"/>
      <c r="M8" s="13"/>
      <c r="N8" s="13"/>
      <c r="O8" s="5">
        <f t="shared" si="0"/>
        <v>0</v>
      </c>
      <c r="P8" s="12">
        <f t="shared" si="1"/>
        <v>0</v>
      </c>
    </row>
    <row r="9" spans="1:16" s="6" customFormat="1" ht="144" customHeight="1" x14ac:dyDescent="0.55000000000000004">
      <c r="A9" s="9" t="s">
        <v>113</v>
      </c>
      <c r="B9" s="9" t="s">
        <v>47</v>
      </c>
      <c r="C9" s="10"/>
      <c r="D9" s="11">
        <v>7.6579999999999995</v>
      </c>
      <c r="E9" s="13">
        <f>1*E3</f>
        <v>0</v>
      </c>
      <c r="F9" s="13">
        <f t="shared" ref="F9:G9" si="3">1*F3</f>
        <v>0</v>
      </c>
      <c r="G9" s="13">
        <f t="shared" si="3"/>
        <v>0</v>
      </c>
      <c r="H9" s="13"/>
      <c r="I9" s="13"/>
      <c r="J9" s="13"/>
      <c r="K9" s="13"/>
      <c r="L9" s="13"/>
      <c r="M9" s="13"/>
      <c r="N9" s="13"/>
      <c r="O9" s="5">
        <f t="shared" si="0"/>
        <v>0</v>
      </c>
      <c r="P9" s="12">
        <f t="shared" si="1"/>
        <v>0</v>
      </c>
    </row>
    <row r="10" spans="1:16" s="6" customFormat="1" ht="173" customHeight="1" x14ac:dyDescent="0.55000000000000004">
      <c r="A10" s="9" t="s">
        <v>141</v>
      </c>
      <c r="B10" s="9" t="s">
        <v>48</v>
      </c>
      <c r="C10" s="10" t="s">
        <v>90</v>
      </c>
      <c r="D10" s="11">
        <v>2.4472</v>
      </c>
      <c r="E10" s="13"/>
      <c r="F10" s="5"/>
      <c r="G10" s="5"/>
      <c r="H10" s="5"/>
      <c r="I10" s="5"/>
      <c r="J10" s="5"/>
      <c r="K10" s="5"/>
      <c r="L10" s="5"/>
      <c r="M10" s="5"/>
      <c r="N10" s="5"/>
      <c r="O10" s="5">
        <f t="shared" si="0"/>
        <v>0</v>
      </c>
      <c r="P10" s="12">
        <f t="shared" si="1"/>
        <v>0</v>
      </c>
    </row>
    <row r="11" spans="1:16" s="6" customFormat="1" ht="171" customHeight="1" x14ac:dyDescent="0.55000000000000004">
      <c r="A11" s="9" t="s">
        <v>142</v>
      </c>
      <c r="B11" s="9" t="s">
        <v>49</v>
      </c>
      <c r="C11" s="10" t="s">
        <v>90</v>
      </c>
      <c r="D11" s="11">
        <v>3.3874399999999998</v>
      </c>
      <c r="E11" s="13"/>
      <c r="F11" s="5"/>
      <c r="G11" s="5"/>
      <c r="H11" s="5"/>
      <c r="I11" s="5"/>
      <c r="J11" s="5"/>
      <c r="K11" s="5"/>
      <c r="L11" s="5"/>
      <c r="M11" s="5"/>
      <c r="N11" s="5"/>
      <c r="O11" s="5">
        <f t="shared" si="0"/>
        <v>0</v>
      </c>
      <c r="P11" s="12">
        <f t="shared" si="1"/>
        <v>0</v>
      </c>
    </row>
    <row r="12" spans="1:16" s="6" customFormat="1" ht="187" customHeight="1" x14ac:dyDescent="0.55000000000000004">
      <c r="A12" s="9" t="s">
        <v>3</v>
      </c>
      <c r="B12" s="9" t="s">
        <v>50</v>
      </c>
      <c r="C12" s="10" t="s">
        <v>91</v>
      </c>
      <c r="D12" s="11">
        <v>3.3874399999999998</v>
      </c>
      <c r="E12" s="13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12">
        <f t="shared" si="1"/>
        <v>0</v>
      </c>
    </row>
    <row r="13" spans="1:16" s="6" customFormat="1" ht="205" customHeight="1" x14ac:dyDescent="0.55000000000000004">
      <c r="A13" s="9" t="s">
        <v>4</v>
      </c>
      <c r="B13" s="9" t="s">
        <v>51</v>
      </c>
      <c r="C13" s="10" t="s">
        <v>91</v>
      </c>
      <c r="D13" s="11">
        <v>4.0571999999999999</v>
      </c>
      <c r="E13" s="13"/>
      <c r="F13" s="5"/>
      <c r="G13" s="5"/>
      <c r="H13" s="5"/>
      <c r="I13" s="5"/>
      <c r="J13" s="5"/>
      <c r="K13" s="5"/>
      <c r="L13" s="5"/>
      <c r="M13" s="5"/>
      <c r="N13" s="5"/>
      <c r="O13" s="5">
        <f t="shared" ref="O13:O16" si="4">SUM(E13:G13)</f>
        <v>0</v>
      </c>
      <c r="P13" s="12">
        <f t="shared" si="1"/>
        <v>0</v>
      </c>
    </row>
    <row r="14" spans="1:16" s="6" customFormat="1" ht="205" customHeight="1" x14ac:dyDescent="0.55000000000000004">
      <c r="A14" s="9" t="s">
        <v>308</v>
      </c>
      <c r="B14" s="9" t="s">
        <v>304</v>
      </c>
      <c r="C14" s="10" t="s">
        <v>91</v>
      </c>
      <c r="D14" s="11">
        <v>4.0571999999999999</v>
      </c>
      <c r="E14" s="13"/>
      <c r="F14" s="5"/>
      <c r="G14" s="5"/>
      <c r="H14" s="5"/>
      <c r="I14" s="5"/>
      <c r="J14" s="5"/>
      <c r="K14" s="5"/>
      <c r="L14" s="5"/>
      <c r="M14" s="5"/>
      <c r="N14" s="5"/>
      <c r="O14" s="5">
        <f t="shared" si="4"/>
        <v>0</v>
      </c>
      <c r="P14" s="12">
        <f t="shared" si="1"/>
        <v>0</v>
      </c>
    </row>
    <row r="15" spans="1:16" s="6" customFormat="1" ht="205" customHeight="1" x14ac:dyDescent="0.55000000000000004">
      <c r="A15" s="9" t="s">
        <v>309</v>
      </c>
      <c r="B15" s="9" t="s">
        <v>305</v>
      </c>
      <c r="C15" s="10" t="s">
        <v>91</v>
      </c>
      <c r="D15" s="11">
        <v>4.0571999999999999</v>
      </c>
      <c r="E15" s="13"/>
      <c r="F15" s="5"/>
      <c r="G15" s="5"/>
      <c r="H15" s="5"/>
      <c r="I15" s="5"/>
      <c r="J15" s="5"/>
      <c r="K15" s="5"/>
      <c r="L15" s="5"/>
      <c r="M15" s="5"/>
      <c r="N15" s="5"/>
      <c r="O15" s="5">
        <f t="shared" si="4"/>
        <v>0</v>
      </c>
      <c r="P15" s="12">
        <f t="shared" si="1"/>
        <v>0</v>
      </c>
    </row>
    <row r="16" spans="1:16" s="6" customFormat="1" ht="205" customHeight="1" x14ac:dyDescent="0.55000000000000004">
      <c r="A16" s="9" t="s">
        <v>310</v>
      </c>
      <c r="B16" s="9" t="s">
        <v>306</v>
      </c>
      <c r="C16" s="10" t="s">
        <v>91</v>
      </c>
      <c r="D16" s="11">
        <v>4.0571999999999999</v>
      </c>
      <c r="E16" s="13"/>
      <c r="F16" s="5"/>
      <c r="G16" s="5"/>
      <c r="H16" s="5"/>
      <c r="I16" s="5"/>
      <c r="J16" s="5"/>
      <c r="K16" s="5"/>
      <c r="L16" s="5"/>
      <c r="M16" s="5"/>
      <c r="N16" s="5"/>
      <c r="O16" s="5">
        <f t="shared" si="4"/>
        <v>0</v>
      </c>
      <c r="P16" s="12">
        <f t="shared" si="1"/>
        <v>0</v>
      </c>
    </row>
    <row r="17" spans="1:39" s="6" customFormat="1" ht="205" customHeight="1" x14ac:dyDescent="0.55000000000000004">
      <c r="A17" s="9" t="s">
        <v>311</v>
      </c>
      <c r="B17" s="9" t="s">
        <v>307</v>
      </c>
      <c r="C17" s="10" t="s">
        <v>91</v>
      </c>
      <c r="D17" s="11">
        <v>4.0571999999999999</v>
      </c>
      <c r="E17" s="13"/>
      <c r="F17" s="5"/>
      <c r="G17" s="5"/>
      <c r="H17" s="5"/>
      <c r="I17" s="5"/>
      <c r="J17" s="5"/>
      <c r="K17" s="5"/>
      <c r="L17" s="5"/>
      <c r="M17" s="5"/>
      <c r="N17" s="5"/>
      <c r="O17" s="5">
        <f t="shared" ref="O17" si="5">SUM(E17:G17)</f>
        <v>0</v>
      </c>
      <c r="P17" s="12">
        <f t="shared" si="1"/>
        <v>0</v>
      </c>
    </row>
    <row r="18" spans="1:39" s="6" customFormat="1" ht="195" customHeight="1" x14ac:dyDescent="0.55000000000000004">
      <c r="A18" s="9" t="s">
        <v>103</v>
      </c>
      <c r="B18" s="9" t="s">
        <v>104</v>
      </c>
      <c r="C18" s="10" t="s">
        <v>90</v>
      </c>
      <c r="D18" s="11">
        <v>4.0571999999999999</v>
      </c>
      <c r="E18" s="13"/>
      <c r="F18" s="13"/>
      <c r="G18" s="5"/>
      <c r="H18" s="5"/>
      <c r="I18" s="5"/>
      <c r="J18" s="5"/>
      <c r="K18" s="5"/>
      <c r="L18" s="5"/>
      <c r="M18" s="5"/>
      <c r="N18" s="5"/>
      <c r="O18" s="5">
        <f t="shared" si="0"/>
        <v>0</v>
      </c>
      <c r="P18" s="12">
        <f t="shared" si="1"/>
        <v>0</v>
      </c>
    </row>
    <row r="19" spans="1:39" s="6" customFormat="1" ht="195" customHeight="1" x14ac:dyDescent="0.55000000000000004">
      <c r="A19" s="9" t="s">
        <v>207</v>
      </c>
      <c r="B19" s="9" t="s">
        <v>208</v>
      </c>
      <c r="C19" s="10" t="s">
        <v>90</v>
      </c>
      <c r="D19" s="11">
        <v>4.0571999999999999</v>
      </c>
      <c r="E19" s="13"/>
      <c r="F19" s="13"/>
      <c r="G19" s="5"/>
      <c r="H19" s="5"/>
      <c r="I19" s="5"/>
      <c r="J19" s="5"/>
      <c r="K19" s="5"/>
      <c r="L19" s="5"/>
      <c r="M19" s="5"/>
      <c r="N19" s="5"/>
      <c r="O19" s="5"/>
      <c r="P19" s="12"/>
    </row>
    <row r="20" spans="1:39" s="6" customFormat="1" ht="207" customHeight="1" x14ac:dyDescent="0.55000000000000004">
      <c r="A20" s="9" t="s">
        <v>4</v>
      </c>
      <c r="B20" s="9" t="s">
        <v>52</v>
      </c>
      <c r="C20" s="10" t="s">
        <v>90</v>
      </c>
      <c r="D20" s="11">
        <v>4.0571999999999999</v>
      </c>
      <c r="E20" s="13"/>
      <c r="F20" s="13"/>
      <c r="G20" s="5"/>
      <c r="H20" s="5"/>
      <c r="I20" s="5"/>
      <c r="J20" s="5"/>
      <c r="K20" s="5"/>
      <c r="L20" s="5"/>
      <c r="M20" s="5"/>
      <c r="N20" s="5"/>
      <c r="O20" s="5">
        <f t="shared" si="0"/>
        <v>0</v>
      </c>
      <c r="P20" s="12">
        <f t="shared" ref="P20:P51" si="6">D20*O20</f>
        <v>0</v>
      </c>
    </row>
    <row r="21" spans="1:39" s="6" customFormat="1" ht="205" customHeight="1" x14ac:dyDescent="0.55000000000000004">
      <c r="A21" s="9" t="s">
        <v>5</v>
      </c>
      <c r="B21" s="9" t="s">
        <v>53</v>
      </c>
      <c r="C21" s="10" t="s">
        <v>90</v>
      </c>
      <c r="D21" s="11">
        <v>5.3</v>
      </c>
      <c r="E21" s="13"/>
      <c r="F21" s="5"/>
      <c r="G21" s="5"/>
      <c r="H21" s="5"/>
      <c r="I21" s="5"/>
      <c r="J21" s="5"/>
      <c r="K21" s="5"/>
      <c r="L21" s="5"/>
      <c r="M21" s="5"/>
      <c r="N21" s="5"/>
      <c r="O21" s="5">
        <f t="shared" si="0"/>
        <v>0</v>
      </c>
      <c r="P21" s="12">
        <f t="shared" si="6"/>
        <v>0</v>
      </c>
    </row>
    <row r="22" spans="1:39" s="6" customFormat="1" ht="141" customHeight="1" x14ac:dyDescent="0.55000000000000004">
      <c r="A22" s="9" t="s">
        <v>202</v>
      </c>
      <c r="B22" s="9" t="s">
        <v>198</v>
      </c>
      <c r="C22" s="10" t="s">
        <v>92</v>
      </c>
      <c r="D22" s="11">
        <v>5.3065600000000011</v>
      </c>
      <c r="E22" s="13"/>
      <c r="F22" s="5"/>
      <c r="G22" s="5"/>
      <c r="H22" s="5"/>
      <c r="I22" s="5"/>
      <c r="J22" s="5"/>
      <c r="K22" s="5"/>
      <c r="L22" s="5"/>
      <c r="M22" s="5"/>
      <c r="N22" s="5"/>
      <c r="O22" s="5">
        <f t="shared" si="0"/>
        <v>0</v>
      </c>
      <c r="P22" s="12">
        <f t="shared" si="6"/>
        <v>0</v>
      </c>
    </row>
    <row r="23" spans="1:39" ht="128" x14ac:dyDescent="0.55000000000000004">
      <c r="A23" s="9" t="s">
        <v>200</v>
      </c>
      <c r="B23" s="9" t="s">
        <v>161</v>
      </c>
      <c r="C23" s="10" t="s">
        <v>92</v>
      </c>
      <c r="D23" s="11">
        <v>5.3065600000000011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0"/>
        <v>0</v>
      </c>
      <c r="P23" s="12">
        <f t="shared" si="6"/>
        <v>0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spans="1:39" ht="64" x14ac:dyDescent="0.55000000000000004">
      <c r="A24" s="9" t="s">
        <v>162</v>
      </c>
      <c r="B24" s="9" t="s">
        <v>163</v>
      </c>
      <c r="C24" s="10"/>
      <c r="D24" s="11">
        <v>0.24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0"/>
        <v>0</v>
      </c>
      <c r="P24" s="12">
        <f t="shared" si="6"/>
        <v>0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</row>
    <row r="25" spans="1:39" ht="64" x14ac:dyDescent="0.55000000000000004">
      <c r="A25" s="9" t="s">
        <v>164</v>
      </c>
      <c r="B25" s="9" t="s">
        <v>165</v>
      </c>
      <c r="C25" s="10"/>
      <c r="D25" s="11">
        <v>0.17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0"/>
        <v>0</v>
      </c>
      <c r="P25" s="12">
        <f t="shared" si="6"/>
        <v>0</v>
      </c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</row>
    <row r="26" spans="1:39" ht="96" x14ac:dyDescent="0.55000000000000004">
      <c r="A26" s="14" t="s">
        <v>166</v>
      </c>
      <c r="B26" s="14" t="s">
        <v>167</v>
      </c>
      <c r="C26" s="10"/>
      <c r="D26" s="11">
        <v>7.2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0"/>
        <v>0</v>
      </c>
      <c r="P26" s="12">
        <f t="shared" si="6"/>
        <v>0</v>
      </c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</row>
    <row r="27" spans="1:39" ht="96" x14ac:dyDescent="0.55000000000000004">
      <c r="A27" s="78" t="s">
        <v>316</v>
      </c>
      <c r="B27" s="14" t="s">
        <v>169</v>
      </c>
      <c r="C27" s="10"/>
      <c r="D27" s="11">
        <v>7.2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0"/>
        <v>0</v>
      </c>
      <c r="P27" s="12">
        <f t="shared" si="6"/>
        <v>0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</row>
    <row r="28" spans="1:39" ht="96" x14ac:dyDescent="0.55000000000000004">
      <c r="A28" s="78" t="s">
        <v>314</v>
      </c>
      <c r="B28" s="14" t="s">
        <v>315</v>
      </c>
      <c r="C28" s="10"/>
      <c r="D28" s="11">
        <v>7.2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ref="O28" si="7">SUM(E28:G28)</f>
        <v>0</v>
      </c>
      <c r="P28" s="12">
        <f t="shared" si="6"/>
        <v>0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</row>
    <row r="29" spans="1:39" ht="128" x14ac:dyDescent="0.55000000000000004">
      <c r="A29" s="14" t="s">
        <v>170</v>
      </c>
      <c r="B29" s="14" t="s">
        <v>171</v>
      </c>
      <c r="C29" s="10"/>
      <c r="D29" s="11">
        <v>7.2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 t="shared" si="0"/>
        <v>0</v>
      </c>
      <c r="P29" s="12">
        <f t="shared" si="6"/>
        <v>0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</row>
    <row r="30" spans="1:39" ht="128" x14ac:dyDescent="0.55000000000000004">
      <c r="A30" s="78" t="s">
        <v>312</v>
      </c>
      <c r="B30" s="14" t="s">
        <v>173</v>
      </c>
      <c r="C30" s="10"/>
      <c r="D30" s="11">
        <v>7.2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ref="O30" si="8">SUM(E30:G30)</f>
        <v>0</v>
      </c>
      <c r="P30" s="12">
        <f t="shared" si="6"/>
        <v>0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</row>
    <row r="31" spans="1:39" ht="128" x14ac:dyDescent="0.55000000000000004">
      <c r="A31" s="14" t="s">
        <v>172</v>
      </c>
      <c r="B31" s="14" t="s">
        <v>173</v>
      </c>
      <c r="C31" s="10"/>
      <c r="D31" s="11">
        <v>7.2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si="0"/>
        <v>0</v>
      </c>
      <c r="P31" s="12">
        <f t="shared" si="6"/>
        <v>0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</row>
    <row r="32" spans="1:39" s="6" customFormat="1" ht="151" customHeight="1" x14ac:dyDescent="0.55000000000000004">
      <c r="A32" s="9" t="s">
        <v>6</v>
      </c>
      <c r="B32" s="9" t="s">
        <v>93</v>
      </c>
      <c r="C32" s="10" t="s">
        <v>94</v>
      </c>
      <c r="D32" s="11">
        <v>8.7919999999999998</v>
      </c>
      <c r="E32" s="13"/>
      <c r="F32" s="5"/>
      <c r="G32" s="5"/>
      <c r="H32" s="5"/>
      <c r="I32" s="5"/>
      <c r="J32" s="5"/>
      <c r="K32" s="5"/>
      <c r="L32" s="5"/>
      <c r="M32" s="5"/>
      <c r="N32" s="5"/>
      <c r="O32" s="5">
        <f t="shared" si="0"/>
        <v>0</v>
      </c>
      <c r="P32" s="12">
        <f t="shared" si="6"/>
        <v>0</v>
      </c>
    </row>
    <row r="33" spans="1:16" s="6" customFormat="1" ht="161" customHeight="1" x14ac:dyDescent="0.55000000000000004">
      <c r="A33" s="9" t="s">
        <v>101</v>
      </c>
      <c r="B33" s="9" t="s">
        <v>102</v>
      </c>
      <c r="C33" s="10" t="s">
        <v>95</v>
      </c>
      <c r="D33" s="11">
        <v>8.7919999999999998</v>
      </c>
      <c r="E33" s="13"/>
      <c r="F33" s="13"/>
      <c r="G33" s="5"/>
      <c r="H33" s="5"/>
      <c r="I33" s="5"/>
      <c r="J33" s="5"/>
      <c r="K33" s="5"/>
      <c r="L33" s="5"/>
      <c r="M33" s="5"/>
      <c r="N33" s="5"/>
      <c r="O33" s="5">
        <f t="shared" si="0"/>
        <v>0</v>
      </c>
      <c r="P33" s="12">
        <f t="shared" si="6"/>
        <v>0</v>
      </c>
    </row>
    <row r="34" spans="1:16" s="6" customFormat="1" ht="139" customHeight="1" x14ac:dyDescent="0.55000000000000004">
      <c r="A34" s="9" t="s">
        <v>99</v>
      </c>
      <c r="B34" s="9" t="s">
        <v>100</v>
      </c>
      <c r="C34" s="10" t="s">
        <v>95</v>
      </c>
      <c r="D34" s="11">
        <v>9.6180000000000003</v>
      </c>
      <c r="E34" s="13"/>
      <c r="F34" s="13"/>
      <c r="G34" s="5"/>
      <c r="H34" s="5"/>
      <c r="I34" s="5"/>
      <c r="J34" s="5"/>
      <c r="K34" s="5"/>
      <c r="L34" s="5"/>
      <c r="M34" s="5"/>
      <c r="N34" s="5"/>
      <c r="O34" s="5">
        <f t="shared" si="0"/>
        <v>0</v>
      </c>
      <c r="P34" s="12">
        <f t="shared" si="6"/>
        <v>0</v>
      </c>
    </row>
    <row r="35" spans="1:16" s="6" customFormat="1" ht="143" customHeight="1" x14ac:dyDescent="0.55000000000000004">
      <c r="A35" s="9" t="s">
        <v>105</v>
      </c>
      <c r="B35" s="9" t="s">
        <v>106</v>
      </c>
      <c r="C35" s="10" t="s">
        <v>95</v>
      </c>
      <c r="D35" s="11">
        <v>9.6180000000000003</v>
      </c>
      <c r="E35" s="13"/>
      <c r="F35" s="13"/>
      <c r="G35" s="5"/>
      <c r="H35" s="5"/>
      <c r="I35" s="5"/>
      <c r="J35" s="5"/>
      <c r="K35" s="5"/>
      <c r="L35" s="5"/>
      <c r="M35" s="5"/>
      <c r="N35" s="5"/>
      <c r="O35" s="5">
        <f t="shared" si="0"/>
        <v>0</v>
      </c>
      <c r="P35" s="12">
        <f t="shared" si="6"/>
        <v>0</v>
      </c>
    </row>
    <row r="36" spans="1:16" s="6" customFormat="1" ht="195" customHeight="1" x14ac:dyDescent="0.55000000000000004">
      <c r="A36" s="9" t="s">
        <v>7</v>
      </c>
      <c r="B36" s="9" t="s">
        <v>54</v>
      </c>
      <c r="C36" s="10" t="s">
        <v>95</v>
      </c>
      <c r="D36" s="11">
        <v>9.6180000000000003</v>
      </c>
      <c r="E36" s="13"/>
      <c r="F36" s="13"/>
      <c r="G36" s="5"/>
      <c r="H36" s="5"/>
      <c r="I36" s="5"/>
      <c r="J36" s="5"/>
      <c r="K36" s="5"/>
      <c r="L36" s="5"/>
      <c r="M36" s="5"/>
      <c r="N36" s="5"/>
      <c r="O36" s="5">
        <f t="shared" si="0"/>
        <v>0</v>
      </c>
      <c r="P36" s="12">
        <f t="shared" si="6"/>
        <v>0</v>
      </c>
    </row>
    <row r="37" spans="1:16" s="6" customFormat="1" ht="188" customHeight="1" x14ac:dyDescent="0.55000000000000004">
      <c r="A37" s="9" t="s">
        <v>143</v>
      </c>
      <c r="B37" s="9" t="s">
        <v>128</v>
      </c>
      <c r="C37" s="10" t="s">
        <v>1</v>
      </c>
      <c r="D37" s="11">
        <v>6.6220000000000008</v>
      </c>
      <c r="E37" s="13"/>
      <c r="F37" s="5"/>
      <c r="G37" s="5">
        <f>(1*G2+1)*G3</f>
        <v>0</v>
      </c>
      <c r="H37" s="5"/>
      <c r="I37" s="5"/>
      <c r="J37" s="5"/>
      <c r="K37" s="5"/>
      <c r="L37" s="5"/>
      <c r="M37" s="5"/>
      <c r="N37" s="5"/>
      <c r="O37" s="5">
        <f t="shared" si="0"/>
        <v>0</v>
      </c>
      <c r="P37" s="12">
        <f t="shared" si="6"/>
        <v>0</v>
      </c>
    </row>
    <row r="38" spans="1:16" s="6" customFormat="1" ht="188" customHeight="1" x14ac:dyDescent="0.55000000000000004">
      <c r="A38" s="9" t="s">
        <v>8</v>
      </c>
      <c r="B38" s="9" t="s">
        <v>129</v>
      </c>
      <c r="C38" s="10" t="s">
        <v>1</v>
      </c>
      <c r="D38" s="11">
        <v>6.6220000000000008</v>
      </c>
      <c r="E38" s="13"/>
      <c r="F38" s="5">
        <f>(1*F2 +1)*F3</f>
        <v>0</v>
      </c>
      <c r="G38" s="5"/>
      <c r="H38" s="5"/>
      <c r="I38" s="5"/>
      <c r="J38" s="5"/>
      <c r="K38" s="5"/>
      <c r="L38" s="5"/>
      <c r="M38" s="5"/>
      <c r="N38" s="5"/>
      <c r="O38" s="5">
        <f t="shared" si="0"/>
        <v>0</v>
      </c>
      <c r="P38" s="12">
        <f t="shared" si="6"/>
        <v>0</v>
      </c>
    </row>
    <row r="39" spans="1:16" s="6" customFormat="1" ht="188" customHeight="1" x14ac:dyDescent="0.55000000000000004">
      <c r="A39" s="9" t="s">
        <v>10</v>
      </c>
      <c r="B39" s="9" t="s">
        <v>130</v>
      </c>
      <c r="C39" s="10" t="s">
        <v>1</v>
      </c>
      <c r="D39" s="11">
        <v>8.6519999999999992</v>
      </c>
      <c r="E39" s="13">
        <f>(1*E2 +1)*E3</f>
        <v>0</v>
      </c>
      <c r="F39" s="5"/>
      <c r="G39" s="5"/>
      <c r="H39" s="5"/>
      <c r="I39" s="5"/>
      <c r="J39" s="5"/>
      <c r="K39" s="5"/>
      <c r="L39" s="5"/>
      <c r="M39" s="5"/>
      <c r="N39" s="5"/>
      <c r="O39" s="5">
        <f t="shared" si="0"/>
        <v>0</v>
      </c>
      <c r="P39" s="12">
        <f t="shared" si="6"/>
        <v>0</v>
      </c>
    </row>
    <row r="40" spans="1:16" s="6" customFormat="1" ht="170" customHeight="1" x14ac:dyDescent="0.55000000000000004">
      <c r="A40" s="9" t="s">
        <v>117</v>
      </c>
      <c r="B40" s="9" t="s">
        <v>98</v>
      </c>
      <c r="C40" s="10" t="s">
        <v>1</v>
      </c>
      <c r="D40" s="11">
        <v>7.22</v>
      </c>
      <c r="E40" s="13"/>
      <c r="F40" s="5"/>
      <c r="G40" s="5"/>
      <c r="H40" s="5"/>
      <c r="I40" s="5"/>
      <c r="J40" s="5"/>
      <c r="K40" s="5"/>
      <c r="L40" s="5"/>
      <c r="M40" s="5"/>
      <c r="N40" s="5"/>
      <c r="O40" s="5">
        <f t="shared" si="0"/>
        <v>0</v>
      </c>
      <c r="P40" s="12">
        <f t="shared" si="6"/>
        <v>0</v>
      </c>
    </row>
    <row r="41" spans="1:16" s="6" customFormat="1" ht="170" customHeight="1" x14ac:dyDescent="0.55000000000000004">
      <c r="A41" s="9" t="s">
        <v>11</v>
      </c>
      <c r="B41" s="9" t="s">
        <v>57</v>
      </c>
      <c r="C41" s="10" t="s">
        <v>1</v>
      </c>
      <c r="D41" s="11">
        <v>5.16</v>
      </c>
      <c r="E41" s="13"/>
      <c r="F41" s="5"/>
      <c r="G41" s="5"/>
      <c r="H41" s="5"/>
      <c r="I41" s="5"/>
      <c r="J41" s="5"/>
      <c r="K41" s="5"/>
      <c r="L41" s="5"/>
      <c r="M41" s="5"/>
      <c r="N41" s="5"/>
      <c r="O41" s="5">
        <f t="shared" si="0"/>
        <v>0</v>
      </c>
      <c r="P41" s="12">
        <f t="shared" si="6"/>
        <v>0</v>
      </c>
    </row>
    <row r="42" spans="1:16" s="6" customFormat="1" ht="136" customHeight="1" x14ac:dyDescent="0.55000000000000004">
      <c r="A42" s="9" t="s">
        <v>116</v>
      </c>
      <c r="B42" s="9" t="s">
        <v>107</v>
      </c>
      <c r="C42" s="10" t="s">
        <v>1</v>
      </c>
      <c r="D42" s="11">
        <v>7.22</v>
      </c>
      <c r="E42" s="13"/>
      <c r="F42" s="13"/>
      <c r="G42" s="5"/>
      <c r="H42" s="5"/>
      <c r="I42" s="5"/>
      <c r="J42" s="5"/>
      <c r="K42" s="5"/>
      <c r="L42" s="5"/>
      <c r="M42" s="5"/>
      <c r="N42" s="5"/>
      <c r="O42" s="5">
        <f t="shared" si="0"/>
        <v>0</v>
      </c>
      <c r="P42" s="12">
        <f t="shared" si="6"/>
        <v>0</v>
      </c>
    </row>
    <row r="43" spans="1:16" s="6" customFormat="1" ht="142" customHeight="1" x14ac:dyDescent="0.55000000000000004">
      <c r="A43" s="9" t="s">
        <v>115</v>
      </c>
      <c r="B43" s="9" t="s">
        <v>58</v>
      </c>
      <c r="C43" s="10" t="s">
        <v>1</v>
      </c>
      <c r="D43" s="11">
        <v>7.22</v>
      </c>
      <c r="E43" s="13"/>
      <c r="F43" s="13"/>
      <c r="G43" s="5"/>
      <c r="H43" s="5"/>
      <c r="I43" s="5"/>
      <c r="J43" s="5"/>
      <c r="K43" s="5"/>
      <c r="L43" s="5"/>
      <c r="M43" s="5"/>
      <c r="N43" s="5"/>
      <c r="O43" s="5">
        <f t="shared" si="0"/>
        <v>0</v>
      </c>
      <c r="P43" s="12">
        <f t="shared" si="6"/>
        <v>0</v>
      </c>
    </row>
    <row r="44" spans="1:16" s="6" customFormat="1" ht="136" customHeight="1" x14ac:dyDescent="0.55000000000000004">
      <c r="A44" s="9" t="s">
        <v>12</v>
      </c>
      <c r="B44" s="9" t="s">
        <v>59</v>
      </c>
      <c r="C44" s="10" t="s">
        <v>1</v>
      </c>
      <c r="D44" s="11">
        <v>0.66128525542088779</v>
      </c>
      <c r="E44" s="13"/>
      <c r="F44" s="5"/>
      <c r="G44" s="5">
        <f>2*G2*G3</f>
        <v>0</v>
      </c>
      <c r="H44" s="5"/>
      <c r="I44" s="5"/>
      <c r="J44" s="5"/>
      <c r="K44" s="5"/>
      <c r="L44" s="5"/>
      <c r="M44" s="5"/>
      <c r="N44" s="5"/>
      <c r="O44" s="5">
        <f t="shared" si="0"/>
        <v>0</v>
      </c>
      <c r="P44" s="12">
        <f t="shared" si="6"/>
        <v>0</v>
      </c>
    </row>
    <row r="45" spans="1:16" s="6" customFormat="1" ht="180" customHeight="1" x14ac:dyDescent="0.55000000000000004">
      <c r="A45" s="9" t="s">
        <v>13</v>
      </c>
      <c r="B45" s="9" t="s">
        <v>60</v>
      </c>
      <c r="C45" s="10"/>
      <c r="D45" s="11">
        <v>0.73</v>
      </c>
      <c r="E45" s="13"/>
      <c r="F45" s="13">
        <f>2*F2*F3</f>
        <v>0</v>
      </c>
      <c r="G45" s="5"/>
      <c r="H45" s="5"/>
      <c r="I45" s="5"/>
      <c r="J45" s="5"/>
      <c r="K45" s="5"/>
      <c r="L45" s="5"/>
      <c r="M45" s="5"/>
      <c r="N45" s="5"/>
      <c r="O45" s="5">
        <f t="shared" si="0"/>
        <v>0</v>
      </c>
      <c r="P45" s="12">
        <f t="shared" si="6"/>
        <v>0</v>
      </c>
    </row>
    <row r="46" spans="1:16" s="6" customFormat="1" ht="180" customHeight="1" x14ac:dyDescent="0.55000000000000004">
      <c r="A46" s="9" t="s">
        <v>144</v>
      </c>
      <c r="B46" s="9" t="s">
        <v>134</v>
      </c>
      <c r="C46" s="10"/>
      <c r="D46" s="11">
        <v>0.73</v>
      </c>
      <c r="E46" s="13">
        <f>2*E2*E3</f>
        <v>0</v>
      </c>
      <c r="F46" s="13"/>
      <c r="G46" s="5"/>
      <c r="H46" s="5"/>
      <c r="I46" s="5"/>
      <c r="J46" s="5"/>
      <c r="K46" s="5"/>
      <c r="L46" s="5"/>
      <c r="M46" s="5"/>
      <c r="N46" s="5"/>
      <c r="O46" s="5">
        <f t="shared" si="0"/>
        <v>0</v>
      </c>
      <c r="P46" s="12">
        <f t="shared" si="6"/>
        <v>0</v>
      </c>
    </row>
    <row r="47" spans="1:16" s="6" customFormat="1" ht="198" customHeight="1" x14ac:dyDescent="0.55000000000000004">
      <c r="A47" s="14" t="s">
        <v>14</v>
      </c>
      <c r="B47" s="14" t="s">
        <v>61</v>
      </c>
      <c r="C47" s="10"/>
      <c r="D47" s="11">
        <v>1.8620000000000001</v>
      </c>
      <c r="E47" s="13">
        <f>1*E3</f>
        <v>0</v>
      </c>
      <c r="F47" s="13">
        <f>1*F3</f>
        <v>0</v>
      </c>
      <c r="G47" s="13">
        <f>1*G3</f>
        <v>0</v>
      </c>
      <c r="H47" s="13"/>
      <c r="I47" s="13"/>
      <c r="J47" s="13"/>
      <c r="K47" s="13"/>
      <c r="L47" s="13"/>
      <c r="M47" s="13"/>
      <c r="N47" s="13"/>
      <c r="O47" s="5">
        <f t="shared" si="0"/>
        <v>0</v>
      </c>
      <c r="P47" s="12">
        <f t="shared" si="6"/>
        <v>0</v>
      </c>
    </row>
    <row r="48" spans="1:16" s="6" customFormat="1" ht="128" customHeight="1" x14ac:dyDescent="0.55000000000000004">
      <c r="A48" s="14" t="s">
        <v>15</v>
      </c>
      <c r="B48" s="14" t="s">
        <v>62</v>
      </c>
      <c r="C48" s="10"/>
      <c r="D48" s="11">
        <v>0.96600000000000008</v>
      </c>
      <c r="E48" s="13"/>
      <c r="F48" s="5"/>
      <c r="G48" s="5"/>
      <c r="H48" s="5"/>
      <c r="I48" s="5"/>
      <c r="J48" s="5"/>
      <c r="K48" s="5"/>
      <c r="L48" s="5"/>
      <c r="M48" s="5"/>
      <c r="N48" s="5"/>
      <c r="O48" s="5">
        <f t="shared" si="0"/>
        <v>0</v>
      </c>
      <c r="P48" s="12">
        <f t="shared" si="6"/>
        <v>0</v>
      </c>
    </row>
    <row r="49" spans="1:39" s="6" customFormat="1" ht="126" customHeight="1" x14ac:dyDescent="0.55000000000000004">
      <c r="A49" s="14" t="s">
        <v>16</v>
      </c>
      <c r="B49" s="14" t="s">
        <v>63</v>
      </c>
      <c r="C49" s="10"/>
      <c r="D49" s="11">
        <v>0.83</v>
      </c>
      <c r="E49" s="13">
        <f>1*E3</f>
        <v>0</v>
      </c>
      <c r="F49" s="13">
        <f>1*F3</f>
        <v>0</v>
      </c>
      <c r="G49" s="13">
        <f>1*G3</f>
        <v>0</v>
      </c>
      <c r="H49" s="13"/>
      <c r="I49" s="13"/>
      <c r="J49" s="13"/>
      <c r="K49" s="13"/>
      <c r="L49" s="13"/>
      <c r="M49" s="13"/>
      <c r="N49" s="13"/>
      <c r="O49" s="5">
        <f t="shared" si="0"/>
        <v>0</v>
      </c>
      <c r="P49" s="12">
        <f t="shared" si="6"/>
        <v>0</v>
      </c>
    </row>
    <row r="50" spans="1:39" s="6" customFormat="1" ht="108" customHeight="1" x14ac:dyDescent="0.55000000000000004">
      <c r="A50" s="14" t="s">
        <v>17</v>
      </c>
      <c r="B50" s="14" t="s">
        <v>64</v>
      </c>
      <c r="C50" s="10"/>
      <c r="D50" s="11">
        <v>10.497199999999999</v>
      </c>
      <c r="E50" s="13">
        <f>2*E3</f>
        <v>0</v>
      </c>
      <c r="F50" s="13">
        <f t="shared" ref="F50:G50" si="9">2*F3</f>
        <v>0</v>
      </c>
      <c r="G50" s="13">
        <f t="shared" si="9"/>
        <v>0</v>
      </c>
      <c r="H50" s="13"/>
      <c r="I50" s="13"/>
      <c r="J50" s="13"/>
      <c r="K50" s="13"/>
      <c r="L50" s="13"/>
      <c r="M50" s="13"/>
      <c r="N50" s="13"/>
      <c r="O50" s="5">
        <f t="shared" si="0"/>
        <v>0</v>
      </c>
      <c r="P50" s="12">
        <f t="shared" si="6"/>
        <v>0</v>
      </c>
    </row>
    <row r="51" spans="1:39" ht="47" x14ac:dyDescent="0.55000000000000004">
      <c r="A51" s="14" t="s">
        <v>174</v>
      </c>
      <c r="B51" s="14" t="s">
        <v>190</v>
      </c>
      <c r="C51" s="10"/>
      <c r="D51" s="11">
        <v>8.6295999999999999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f t="shared" si="0"/>
        <v>0</v>
      </c>
      <c r="P51" s="12">
        <f t="shared" si="6"/>
        <v>0</v>
      </c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spans="1:39" ht="47" x14ac:dyDescent="0.55000000000000004">
      <c r="A52" s="14" t="s">
        <v>175</v>
      </c>
      <c r="B52" s="48" t="s">
        <v>191</v>
      </c>
      <c r="C52" s="10"/>
      <c r="D52" s="11">
        <v>6.78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f t="shared" si="0"/>
        <v>0</v>
      </c>
      <c r="P52" s="12">
        <f t="shared" ref="P52:P83" si="10">D52*O52</f>
        <v>0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r="53" spans="1:39" s="6" customFormat="1" ht="108" customHeight="1" x14ac:dyDescent="0.55000000000000004">
      <c r="A53" s="14" t="s">
        <v>18</v>
      </c>
      <c r="B53" s="14" t="s">
        <v>65</v>
      </c>
      <c r="C53" s="10"/>
      <c r="D53" s="11">
        <v>6.78</v>
      </c>
      <c r="E53" s="13"/>
      <c r="F53" s="5"/>
      <c r="G53" s="5"/>
      <c r="H53" s="5"/>
      <c r="I53" s="5"/>
      <c r="J53" s="5"/>
      <c r="K53" s="5"/>
      <c r="L53" s="5"/>
      <c r="M53" s="5"/>
      <c r="N53" s="5"/>
      <c r="O53" s="5">
        <f t="shared" si="0"/>
        <v>0</v>
      </c>
      <c r="P53" s="12">
        <f t="shared" si="10"/>
        <v>0</v>
      </c>
    </row>
    <row r="54" spans="1:39" s="6" customFormat="1" ht="47" x14ac:dyDescent="0.55000000000000004">
      <c r="A54" s="14" t="s">
        <v>19</v>
      </c>
      <c r="B54" s="14" t="s">
        <v>66</v>
      </c>
      <c r="C54" s="10"/>
      <c r="D54" s="11">
        <v>2.6661599999999996</v>
      </c>
      <c r="E54" s="13"/>
      <c r="F54" s="5"/>
      <c r="G54" s="5">
        <f>2*G3</f>
        <v>0</v>
      </c>
      <c r="H54" s="5"/>
      <c r="I54" s="5"/>
      <c r="J54" s="5"/>
      <c r="K54" s="5"/>
      <c r="L54" s="5"/>
      <c r="M54" s="5"/>
      <c r="N54" s="5"/>
      <c r="O54" s="5">
        <f t="shared" si="0"/>
        <v>0</v>
      </c>
      <c r="P54" s="12">
        <f t="shared" si="10"/>
        <v>0</v>
      </c>
    </row>
    <row r="55" spans="1:39" s="6" customFormat="1" ht="47" x14ac:dyDescent="0.55000000000000004">
      <c r="A55" s="14" t="s">
        <v>20</v>
      </c>
      <c r="B55" s="14" t="s">
        <v>67</v>
      </c>
      <c r="C55" s="10"/>
      <c r="D55" s="11">
        <v>3.4389599999999998</v>
      </c>
      <c r="E55" s="13"/>
      <c r="F55" s="13">
        <f>2*F3</f>
        <v>0</v>
      </c>
      <c r="G55" s="13"/>
      <c r="H55" s="13"/>
      <c r="I55" s="13"/>
      <c r="J55" s="13"/>
      <c r="K55" s="13"/>
      <c r="L55" s="13"/>
      <c r="M55" s="13"/>
      <c r="N55" s="13"/>
      <c r="O55" s="5">
        <f t="shared" si="0"/>
        <v>0</v>
      </c>
      <c r="P55" s="12">
        <f t="shared" si="10"/>
        <v>0</v>
      </c>
    </row>
    <row r="56" spans="1:39" s="6" customFormat="1" ht="47" x14ac:dyDescent="0.55000000000000004">
      <c r="A56" s="14" t="s">
        <v>21</v>
      </c>
      <c r="B56" s="14" t="s">
        <v>131</v>
      </c>
      <c r="C56" s="10"/>
      <c r="D56" s="11">
        <v>3.4389599999999998</v>
      </c>
      <c r="E56" s="13">
        <f>2*E3</f>
        <v>0</v>
      </c>
      <c r="F56" s="13"/>
      <c r="G56" s="13"/>
      <c r="H56" s="13"/>
      <c r="I56" s="13"/>
      <c r="J56" s="13"/>
      <c r="K56" s="13"/>
      <c r="L56" s="13"/>
      <c r="M56" s="13"/>
      <c r="N56" s="13"/>
      <c r="O56" s="5">
        <f t="shared" si="0"/>
        <v>0</v>
      </c>
      <c r="P56" s="12">
        <f t="shared" si="10"/>
        <v>0</v>
      </c>
    </row>
    <row r="57" spans="1:39" s="6" customFormat="1" ht="162" customHeight="1" x14ac:dyDescent="0.55000000000000004">
      <c r="A57" s="14" t="s">
        <v>22</v>
      </c>
      <c r="B57" s="14" t="s">
        <v>70</v>
      </c>
      <c r="C57" s="10"/>
      <c r="D57" s="11">
        <v>0.15512465373961221</v>
      </c>
      <c r="E57" s="13">
        <f>2*E3</f>
        <v>0</v>
      </c>
      <c r="F57" s="13">
        <f>2*F3</f>
        <v>0</v>
      </c>
      <c r="G57" s="13">
        <f>2*G3</f>
        <v>0</v>
      </c>
      <c r="H57" s="13"/>
      <c r="I57" s="13"/>
      <c r="J57" s="13"/>
      <c r="K57" s="13"/>
      <c r="L57" s="13"/>
      <c r="M57" s="13"/>
      <c r="N57" s="13"/>
      <c r="O57" s="5">
        <f t="shared" si="0"/>
        <v>0</v>
      </c>
      <c r="P57" s="12">
        <f t="shared" si="10"/>
        <v>0</v>
      </c>
    </row>
    <row r="58" spans="1:39" s="6" customFormat="1" ht="164" customHeight="1" x14ac:dyDescent="0.55000000000000004">
      <c r="A58" s="14" t="s">
        <v>23</v>
      </c>
      <c r="B58" s="14" t="s">
        <v>69</v>
      </c>
      <c r="C58" s="10"/>
      <c r="D58" s="11">
        <v>0.27922437673130196</v>
      </c>
      <c r="E58" s="13">
        <f>2*E3</f>
        <v>0</v>
      </c>
      <c r="F58" s="13">
        <f t="shared" ref="F58:G58" si="11">2*F3</f>
        <v>0</v>
      </c>
      <c r="G58" s="13">
        <f t="shared" si="11"/>
        <v>0</v>
      </c>
      <c r="H58" s="13"/>
      <c r="I58" s="13"/>
      <c r="J58" s="13"/>
      <c r="K58" s="13"/>
      <c r="L58" s="13"/>
      <c r="M58" s="13"/>
      <c r="N58" s="13"/>
      <c r="O58" s="5">
        <f t="shared" si="0"/>
        <v>0</v>
      </c>
      <c r="P58" s="12">
        <f t="shared" si="10"/>
        <v>0</v>
      </c>
    </row>
    <row r="59" spans="1:39" s="6" customFormat="1" ht="174" customHeight="1" x14ac:dyDescent="0.55000000000000004">
      <c r="A59" s="14" t="s">
        <v>24</v>
      </c>
      <c r="B59" s="14" t="s">
        <v>68</v>
      </c>
      <c r="C59" s="10"/>
      <c r="D59" s="11">
        <v>0.12409972299168978</v>
      </c>
      <c r="E59" s="13">
        <f>2*E3</f>
        <v>0</v>
      </c>
      <c r="F59" s="13">
        <f t="shared" ref="F59:G59" si="12">2*F3</f>
        <v>0</v>
      </c>
      <c r="G59" s="13">
        <f t="shared" si="12"/>
        <v>0</v>
      </c>
      <c r="H59" s="13"/>
      <c r="I59" s="13"/>
      <c r="J59" s="13"/>
      <c r="K59" s="13"/>
      <c r="L59" s="13"/>
      <c r="M59" s="13"/>
      <c r="N59" s="13"/>
      <c r="O59" s="5">
        <f t="shared" si="0"/>
        <v>0</v>
      </c>
      <c r="P59" s="12">
        <f t="shared" si="10"/>
        <v>0</v>
      </c>
    </row>
    <row r="60" spans="1:39" s="6" customFormat="1" ht="152" customHeight="1" x14ac:dyDescent="0.55000000000000004">
      <c r="A60" s="14" t="s">
        <v>25</v>
      </c>
      <c r="B60" s="14" t="s">
        <v>71</v>
      </c>
      <c r="C60" s="10"/>
      <c r="D60" s="11">
        <v>3.1024930747922445E-2</v>
      </c>
      <c r="E60" s="13">
        <f>2*E3</f>
        <v>0</v>
      </c>
      <c r="F60" s="13">
        <f t="shared" ref="F60:G60" si="13">2*F3</f>
        <v>0</v>
      </c>
      <c r="G60" s="13">
        <f t="shared" si="13"/>
        <v>0</v>
      </c>
      <c r="H60" s="13"/>
      <c r="I60" s="13"/>
      <c r="J60" s="13"/>
      <c r="K60" s="13"/>
      <c r="L60" s="13"/>
      <c r="M60" s="13"/>
      <c r="N60" s="13"/>
      <c r="O60" s="5">
        <f t="shared" si="0"/>
        <v>0</v>
      </c>
      <c r="P60" s="12">
        <f t="shared" si="10"/>
        <v>0</v>
      </c>
    </row>
    <row r="61" spans="1:39" s="6" customFormat="1" ht="128" customHeight="1" x14ac:dyDescent="0.55000000000000004">
      <c r="A61" s="14" t="s">
        <v>26</v>
      </c>
      <c r="B61" s="14" t="s">
        <v>72</v>
      </c>
      <c r="C61" s="10"/>
      <c r="D61" s="11">
        <v>3.49</v>
      </c>
      <c r="E61" s="13"/>
      <c r="F61" s="5"/>
      <c r="G61" s="5"/>
      <c r="H61" s="5"/>
      <c r="I61" s="5"/>
      <c r="J61" s="5"/>
      <c r="K61" s="5"/>
      <c r="L61" s="5"/>
      <c r="M61" s="5"/>
      <c r="N61" s="5"/>
      <c r="O61" s="5">
        <f t="shared" si="0"/>
        <v>0</v>
      </c>
      <c r="P61" s="12">
        <f t="shared" si="10"/>
        <v>0</v>
      </c>
    </row>
    <row r="62" spans="1:39" s="6" customFormat="1" ht="347" customHeight="1" x14ac:dyDescent="0.55000000000000004">
      <c r="A62" s="14" t="s">
        <v>27</v>
      </c>
      <c r="B62" s="14" t="s">
        <v>73</v>
      </c>
      <c r="C62" s="10" t="s">
        <v>96</v>
      </c>
      <c r="D62" s="11">
        <v>4.8499999999999996</v>
      </c>
      <c r="E62" s="13"/>
      <c r="F62" s="5"/>
      <c r="G62" s="5"/>
      <c r="H62" s="5"/>
      <c r="I62" s="5"/>
      <c r="J62" s="5"/>
      <c r="K62" s="5"/>
      <c r="L62" s="5"/>
      <c r="M62" s="5"/>
      <c r="N62" s="5"/>
      <c r="O62" s="5">
        <f t="shared" si="0"/>
        <v>0</v>
      </c>
      <c r="P62" s="12">
        <f t="shared" si="10"/>
        <v>0</v>
      </c>
    </row>
    <row r="63" spans="1:39" s="6" customFormat="1" ht="297" customHeight="1" x14ac:dyDescent="0.55000000000000004">
      <c r="A63" s="14" t="s">
        <v>28</v>
      </c>
      <c r="B63" s="14" t="s">
        <v>74</v>
      </c>
      <c r="C63" s="10" t="s">
        <v>96</v>
      </c>
      <c r="D63" s="11">
        <v>6.8</v>
      </c>
      <c r="E63" s="13"/>
      <c r="F63" s="5"/>
      <c r="G63" s="5"/>
      <c r="H63" s="5"/>
      <c r="I63" s="5"/>
      <c r="J63" s="5"/>
      <c r="K63" s="5"/>
      <c r="L63" s="5"/>
      <c r="M63" s="5"/>
      <c r="N63" s="5"/>
      <c r="O63" s="5">
        <f t="shared" si="0"/>
        <v>0</v>
      </c>
      <c r="P63" s="12">
        <f t="shared" si="10"/>
        <v>0</v>
      </c>
    </row>
    <row r="64" spans="1:39" s="6" customFormat="1" ht="126" customHeight="1" x14ac:dyDescent="0.55000000000000004">
      <c r="A64" s="14" t="s">
        <v>29</v>
      </c>
      <c r="B64" s="14" t="s">
        <v>75</v>
      </c>
      <c r="C64" s="10"/>
      <c r="D64" s="11">
        <v>1.1399999999999999</v>
      </c>
      <c r="E64" s="13">
        <f>1*E3</f>
        <v>0</v>
      </c>
      <c r="F64" s="13">
        <f>1*F3</f>
        <v>0</v>
      </c>
      <c r="G64" s="13">
        <f>2*G3</f>
        <v>0</v>
      </c>
      <c r="H64" s="13"/>
      <c r="I64" s="13"/>
      <c r="J64" s="13"/>
      <c r="K64" s="13"/>
      <c r="L64" s="13"/>
      <c r="M64" s="13"/>
      <c r="N64" s="13"/>
      <c r="O64" s="5">
        <f t="shared" si="0"/>
        <v>0</v>
      </c>
      <c r="P64" s="12">
        <f t="shared" si="10"/>
        <v>0</v>
      </c>
    </row>
    <row r="65" spans="1:39" s="6" customFormat="1" ht="94" customHeight="1" x14ac:dyDescent="0.55000000000000004">
      <c r="A65" s="14" t="s">
        <v>30</v>
      </c>
      <c r="B65" s="14" t="s">
        <v>76</v>
      </c>
      <c r="C65" s="10"/>
      <c r="D65" s="11">
        <v>1.22</v>
      </c>
      <c r="E65" s="13"/>
      <c r="F65" s="5"/>
      <c r="G65" s="5"/>
      <c r="H65" s="5"/>
      <c r="I65" s="5"/>
      <c r="J65" s="5"/>
      <c r="K65" s="5"/>
      <c r="L65" s="5"/>
      <c r="M65" s="5"/>
      <c r="N65" s="5"/>
      <c r="O65" s="5">
        <f t="shared" si="0"/>
        <v>0</v>
      </c>
      <c r="P65" s="12">
        <f t="shared" si="10"/>
        <v>0</v>
      </c>
    </row>
    <row r="66" spans="1:39" s="6" customFormat="1" ht="164" customHeight="1" x14ac:dyDescent="0.55000000000000004">
      <c r="A66" s="14" t="s">
        <v>31</v>
      </c>
      <c r="B66" s="14" t="s">
        <v>259</v>
      </c>
      <c r="C66" s="10"/>
      <c r="D66" s="11">
        <v>2.15</v>
      </c>
      <c r="E66" s="13"/>
      <c r="F66" s="5"/>
      <c r="G66" s="5"/>
      <c r="H66" s="5"/>
      <c r="I66" s="5"/>
      <c r="J66" s="5"/>
      <c r="K66" s="5"/>
      <c r="L66" s="5"/>
      <c r="M66" s="5"/>
      <c r="N66" s="5"/>
      <c r="O66" s="5">
        <f t="shared" si="0"/>
        <v>0</v>
      </c>
      <c r="P66" s="12">
        <f t="shared" si="10"/>
        <v>0</v>
      </c>
    </row>
    <row r="67" spans="1:39" s="6" customFormat="1" ht="190" customHeight="1" x14ac:dyDescent="0.55000000000000004">
      <c r="A67" s="14" t="s">
        <v>32</v>
      </c>
      <c r="B67" s="14" t="s">
        <v>77</v>
      </c>
      <c r="C67" s="10"/>
      <c r="D67" s="11">
        <v>5.5579999999999998</v>
      </c>
      <c r="E67" s="13">
        <f>2*E3</f>
        <v>0</v>
      </c>
      <c r="F67" s="13">
        <f t="shared" ref="F67:G67" si="14">2*F3</f>
        <v>0</v>
      </c>
      <c r="G67" s="13">
        <f t="shared" si="14"/>
        <v>0</v>
      </c>
      <c r="H67" s="13"/>
      <c r="I67" s="13"/>
      <c r="J67" s="13"/>
      <c r="K67" s="13"/>
      <c r="L67" s="13"/>
      <c r="M67" s="13"/>
      <c r="N67" s="13"/>
      <c r="O67" s="5">
        <f t="shared" si="0"/>
        <v>0</v>
      </c>
      <c r="P67" s="12">
        <f t="shared" si="10"/>
        <v>0</v>
      </c>
    </row>
    <row r="68" spans="1:39" s="6" customFormat="1" ht="206" customHeight="1" x14ac:dyDescent="0.55000000000000004">
      <c r="A68" s="14" t="s">
        <v>33</v>
      </c>
      <c r="B68" s="14" t="s">
        <v>78</v>
      </c>
      <c r="C68" s="10"/>
      <c r="D68" s="11">
        <v>5.5579999999999998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5">
        <f t="shared" si="0"/>
        <v>0</v>
      </c>
      <c r="P68" s="12">
        <f t="shared" si="10"/>
        <v>0</v>
      </c>
    </row>
    <row r="69" spans="1:39" ht="96" x14ac:dyDescent="0.55000000000000004">
      <c r="A69" s="14" t="s">
        <v>176</v>
      </c>
      <c r="B69" s="14" t="s">
        <v>192</v>
      </c>
      <c r="C69" s="10"/>
      <c r="D69" s="11">
        <v>5.5579999999999998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f t="shared" si="0"/>
        <v>0</v>
      </c>
      <c r="P69" s="12">
        <f t="shared" si="10"/>
        <v>0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</row>
    <row r="70" spans="1:39" ht="96" x14ac:dyDescent="0.55000000000000004">
      <c r="A70" s="14" t="s">
        <v>177</v>
      </c>
      <c r="B70" s="14" t="s">
        <v>193</v>
      </c>
      <c r="C70" s="10"/>
      <c r="D70" s="11">
        <v>5.5579999999999998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f t="shared" si="0"/>
        <v>0</v>
      </c>
      <c r="P70" s="12">
        <f t="shared" si="10"/>
        <v>0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 spans="1:39" ht="96" x14ac:dyDescent="0.35">
      <c r="A71" s="14" t="s">
        <v>178</v>
      </c>
      <c r="B71" s="14" t="s">
        <v>194</v>
      </c>
      <c r="C71" s="10"/>
      <c r="D71" s="11">
        <v>5.5579999999999998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5">
        <f t="shared" si="0"/>
        <v>0</v>
      </c>
      <c r="P71" s="12">
        <f t="shared" si="10"/>
        <v>0</v>
      </c>
    </row>
    <row r="72" spans="1:39" ht="96" x14ac:dyDescent="0.35">
      <c r="A72" s="14" t="s">
        <v>179</v>
      </c>
      <c r="B72" s="14" t="s">
        <v>195</v>
      </c>
      <c r="C72" s="10"/>
      <c r="D72" s="11">
        <v>5.5579999999999998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5">
        <f t="shared" si="0"/>
        <v>0</v>
      </c>
      <c r="P72" s="12">
        <f t="shared" si="10"/>
        <v>0</v>
      </c>
    </row>
    <row r="73" spans="1:39" s="6" customFormat="1" ht="142" customHeight="1" x14ac:dyDescent="0.55000000000000004">
      <c r="A73" s="14" t="s">
        <v>34</v>
      </c>
      <c r="B73" s="14" t="s">
        <v>79</v>
      </c>
      <c r="C73" s="10"/>
      <c r="D73" s="11">
        <v>3.3879999999999999</v>
      </c>
      <c r="E73" s="13"/>
      <c r="F73" s="5"/>
      <c r="G73" s="5"/>
      <c r="H73" s="5"/>
      <c r="I73" s="5"/>
      <c r="J73" s="5"/>
      <c r="K73" s="5"/>
      <c r="L73" s="5"/>
      <c r="M73" s="5"/>
      <c r="N73" s="5"/>
      <c r="O73" s="5">
        <f t="shared" si="0"/>
        <v>0</v>
      </c>
      <c r="P73" s="12">
        <f t="shared" si="10"/>
        <v>0</v>
      </c>
    </row>
    <row r="74" spans="1:39" s="6" customFormat="1" ht="184" customHeight="1" x14ac:dyDescent="0.55000000000000004">
      <c r="A74" s="14" t="s">
        <v>35</v>
      </c>
      <c r="B74" s="14" t="s">
        <v>80</v>
      </c>
      <c r="C74" s="10"/>
      <c r="D74" s="11">
        <v>3.3879999999999999</v>
      </c>
      <c r="E74" s="13"/>
      <c r="F74" s="5"/>
      <c r="G74" s="5"/>
      <c r="H74" s="5"/>
      <c r="I74" s="5"/>
      <c r="J74" s="5"/>
      <c r="K74" s="5"/>
      <c r="L74" s="5"/>
      <c r="M74" s="5"/>
      <c r="N74" s="5"/>
      <c r="O74" s="5">
        <f t="shared" si="0"/>
        <v>0</v>
      </c>
      <c r="P74" s="12">
        <f t="shared" si="10"/>
        <v>0</v>
      </c>
    </row>
    <row r="75" spans="1:39" s="6" customFormat="1" ht="180" customHeight="1" x14ac:dyDescent="0.55000000000000004">
      <c r="A75" s="14" t="s">
        <v>36</v>
      </c>
      <c r="B75" s="14" t="s">
        <v>81</v>
      </c>
      <c r="C75" s="10"/>
      <c r="D75" s="11">
        <v>2.1280000000000001</v>
      </c>
      <c r="E75" s="13"/>
      <c r="F75" s="5"/>
      <c r="G75" s="5"/>
      <c r="H75" s="5"/>
      <c r="I75" s="5"/>
      <c r="J75" s="5"/>
      <c r="K75" s="5"/>
      <c r="L75" s="5"/>
      <c r="M75" s="5"/>
      <c r="N75" s="5"/>
      <c r="O75" s="5">
        <f t="shared" ref="O75:O90" si="15">SUM(E75:G75)</f>
        <v>0</v>
      </c>
      <c r="P75" s="12">
        <f t="shared" si="10"/>
        <v>0</v>
      </c>
    </row>
    <row r="76" spans="1:39" s="6" customFormat="1" ht="176" customHeight="1" x14ac:dyDescent="0.55000000000000004">
      <c r="A76" s="14" t="s">
        <v>37</v>
      </c>
      <c r="B76" s="14" t="s">
        <v>82</v>
      </c>
      <c r="C76" s="10"/>
      <c r="D76" s="11">
        <v>2.702</v>
      </c>
      <c r="E76" s="13"/>
      <c r="F76" s="5"/>
      <c r="G76" s="5"/>
      <c r="H76" s="5"/>
      <c r="I76" s="5"/>
      <c r="J76" s="5"/>
      <c r="K76" s="5"/>
      <c r="L76" s="5"/>
      <c r="M76" s="5"/>
      <c r="N76" s="5"/>
      <c r="O76" s="5">
        <f t="shared" si="15"/>
        <v>0</v>
      </c>
      <c r="P76" s="12">
        <f t="shared" si="10"/>
        <v>0</v>
      </c>
    </row>
    <row r="77" spans="1:39" s="6" customFormat="1" ht="194" customHeight="1" x14ac:dyDescent="0.55000000000000004">
      <c r="A77" s="14" t="s">
        <v>38</v>
      </c>
      <c r="B77" s="14" t="s">
        <v>83</v>
      </c>
      <c r="C77" s="10"/>
      <c r="D77" s="11">
        <v>0.68599999999999994</v>
      </c>
      <c r="E77" s="13"/>
      <c r="F77" s="5"/>
      <c r="G77" s="5">
        <f>1*G3</f>
        <v>0</v>
      </c>
      <c r="H77" s="5"/>
      <c r="I77" s="5"/>
      <c r="J77" s="5"/>
      <c r="K77" s="5"/>
      <c r="L77" s="5"/>
      <c r="M77" s="5"/>
      <c r="N77" s="5"/>
      <c r="O77" s="5">
        <f t="shared" si="15"/>
        <v>0</v>
      </c>
      <c r="P77" s="12">
        <f t="shared" si="10"/>
        <v>0</v>
      </c>
    </row>
    <row r="78" spans="1:39" s="6" customFormat="1" ht="210" customHeight="1" x14ac:dyDescent="0.55000000000000004">
      <c r="A78" s="14" t="s">
        <v>39</v>
      </c>
      <c r="B78" s="14" t="s">
        <v>84</v>
      </c>
      <c r="C78" s="10"/>
      <c r="D78" s="11">
        <v>0.68599999999999994</v>
      </c>
      <c r="E78" s="13"/>
      <c r="F78" s="5"/>
      <c r="G78" s="5">
        <f>1*G3</f>
        <v>0</v>
      </c>
      <c r="H78" s="5"/>
      <c r="I78" s="5"/>
      <c r="J78" s="5"/>
      <c r="K78" s="5"/>
      <c r="L78" s="5"/>
      <c r="M78" s="5"/>
      <c r="N78" s="5"/>
      <c r="O78" s="5">
        <f t="shared" si="15"/>
        <v>0</v>
      </c>
      <c r="P78" s="12">
        <f t="shared" si="10"/>
        <v>0</v>
      </c>
    </row>
    <row r="79" spans="1:39" s="6" customFormat="1" ht="186" customHeight="1" x14ac:dyDescent="0.55000000000000004">
      <c r="A79" s="14" t="s">
        <v>40</v>
      </c>
      <c r="B79" s="14" t="s">
        <v>85</v>
      </c>
      <c r="C79" s="10"/>
      <c r="D79" s="11">
        <v>0.98</v>
      </c>
      <c r="E79" s="13"/>
      <c r="F79" s="13">
        <f>1*F3</f>
        <v>0</v>
      </c>
      <c r="G79" s="5"/>
      <c r="H79" s="5"/>
      <c r="I79" s="5"/>
      <c r="J79" s="5"/>
      <c r="K79" s="5"/>
      <c r="L79" s="5"/>
      <c r="M79" s="5"/>
      <c r="N79" s="5"/>
      <c r="O79" s="5">
        <f t="shared" si="15"/>
        <v>0</v>
      </c>
      <c r="P79" s="12">
        <f t="shared" si="10"/>
        <v>0</v>
      </c>
    </row>
    <row r="80" spans="1:39" s="6" customFormat="1" ht="184" customHeight="1" x14ac:dyDescent="0.55000000000000004">
      <c r="A80" s="14" t="s">
        <v>41</v>
      </c>
      <c r="B80" s="15" t="s">
        <v>254</v>
      </c>
      <c r="C80" s="16"/>
      <c r="D80" s="11">
        <v>0.98</v>
      </c>
      <c r="E80" s="13"/>
      <c r="F80" s="13">
        <f>1*F3</f>
        <v>0</v>
      </c>
      <c r="G80" s="5"/>
      <c r="H80" s="5"/>
      <c r="I80" s="5"/>
      <c r="J80" s="5"/>
      <c r="K80" s="5"/>
      <c r="L80" s="5"/>
      <c r="M80" s="5"/>
      <c r="N80" s="5"/>
      <c r="O80" s="5">
        <f t="shared" si="15"/>
        <v>0</v>
      </c>
      <c r="P80" s="12">
        <f t="shared" si="10"/>
        <v>0</v>
      </c>
    </row>
    <row r="81" spans="1:39" s="6" customFormat="1" ht="230" customHeight="1" x14ac:dyDescent="0.55000000000000004">
      <c r="A81" s="14" t="s">
        <v>136</v>
      </c>
      <c r="B81" s="14" t="s">
        <v>132</v>
      </c>
      <c r="C81" s="10"/>
      <c r="D81" s="11">
        <v>0.98</v>
      </c>
      <c r="E81" s="13">
        <f>1*E3</f>
        <v>0</v>
      </c>
      <c r="F81" s="5"/>
      <c r="G81" s="5"/>
      <c r="H81" s="5"/>
      <c r="I81" s="5"/>
      <c r="J81" s="5"/>
      <c r="K81" s="5"/>
      <c r="L81" s="5"/>
      <c r="M81" s="5"/>
      <c r="N81" s="5"/>
      <c r="O81" s="5">
        <f t="shared" si="15"/>
        <v>0</v>
      </c>
      <c r="P81" s="12">
        <f t="shared" si="10"/>
        <v>0</v>
      </c>
    </row>
    <row r="82" spans="1:39" s="6" customFormat="1" ht="184" customHeight="1" x14ac:dyDescent="0.55000000000000004">
      <c r="A82" s="14" t="s">
        <v>137</v>
      </c>
      <c r="B82" s="14" t="s">
        <v>133</v>
      </c>
      <c r="C82" s="10"/>
      <c r="D82" s="11">
        <v>0.68599999999999994</v>
      </c>
      <c r="E82" s="13">
        <f>1*E3</f>
        <v>0</v>
      </c>
      <c r="F82" s="5"/>
      <c r="G82" s="5">
        <f>1*G7</f>
        <v>0</v>
      </c>
      <c r="H82" s="5"/>
      <c r="I82" s="5"/>
      <c r="J82" s="5"/>
      <c r="K82" s="5"/>
      <c r="L82" s="5"/>
      <c r="M82" s="5"/>
      <c r="N82" s="5"/>
      <c r="O82" s="5">
        <f t="shared" si="15"/>
        <v>0</v>
      </c>
      <c r="P82" s="12">
        <f t="shared" si="10"/>
        <v>0</v>
      </c>
    </row>
    <row r="83" spans="1:39" ht="160" x14ac:dyDescent="0.55000000000000004">
      <c r="A83" s="10" t="s">
        <v>154</v>
      </c>
      <c r="B83" s="10" t="s">
        <v>155</v>
      </c>
      <c r="C83" s="10"/>
      <c r="D83" s="11">
        <v>19.137999999999998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f t="shared" si="15"/>
        <v>0</v>
      </c>
      <c r="P83" s="12">
        <f t="shared" si="10"/>
        <v>0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</row>
    <row r="84" spans="1:39" ht="352" x14ac:dyDescent="0.55000000000000004">
      <c r="A84" s="14" t="s">
        <v>156</v>
      </c>
      <c r="B84" s="14" t="s">
        <v>157</v>
      </c>
      <c r="C84" s="10" t="s">
        <v>158</v>
      </c>
      <c r="D84" s="11">
        <v>160.23000000000002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f t="shared" si="15"/>
        <v>0</v>
      </c>
      <c r="P84" s="12">
        <f t="shared" ref="P84:P90" si="16">D84*O84</f>
        <v>0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 spans="1:39" ht="352" x14ac:dyDescent="0.55000000000000004">
      <c r="A85" s="14" t="s">
        <v>196</v>
      </c>
      <c r="B85" s="14" t="s">
        <v>159</v>
      </c>
      <c r="C85" s="10" t="s">
        <v>158</v>
      </c>
      <c r="D85" s="11">
        <v>207.94200000000001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 t="shared" si="15"/>
        <v>0</v>
      </c>
      <c r="P85" s="12">
        <f t="shared" si="16"/>
        <v>0</v>
      </c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 spans="1:39" ht="352" x14ac:dyDescent="0.55000000000000004">
      <c r="A86" s="14" t="s">
        <v>197</v>
      </c>
      <c r="B86" s="14" t="s">
        <v>160</v>
      </c>
      <c r="C86" s="10" t="s">
        <v>158</v>
      </c>
      <c r="D86" s="11">
        <v>207.94200000000001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f t="shared" si="15"/>
        <v>0</v>
      </c>
      <c r="P86" s="12">
        <f t="shared" si="16"/>
        <v>0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1:39" ht="160" x14ac:dyDescent="0.2">
      <c r="A87" s="14" t="s">
        <v>180</v>
      </c>
      <c r="B87" s="10" t="s">
        <v>181</v>
      </c>
      <c r="C87" s="10"/>
      <c r="D87" s="11">
        <v>0.75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5">
        <f t="shared" si="15"/>
        <v>0</v>
      </c>
      <c r="P87" s="12">
        <f t="shared" si="16"/>
        <v>0</v>
      </c>
    </row>
    <row r="88" spans="1:39" ht="160" x14ac:dyDescent="0.2">
      <c r="A88" s="14" t="s">
        <v>182</v>
      </c>
      <c r="B88" s="10" t="s">
        <v>183</v>
      </c>
      <c r="C88" s="10"/>
      <c r="D88" s="11">
        <v>0.75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5">
        <f t="shared" si="15"/>
        <v>0</v>
      </c>
      <c r="P88" s="12">
        <f t="shared" si="16"/>
        <v>0</v>
      </c>
    </row>
    <row r="89" spans="1:39" ht="160" x14ac:dyDescent="0.2">
      <c r="A89" s="14" t="s">
        <v>184</v>
      </c>
      <c r="B89" s="10" t="s">
        <v>185</v>
      </c>
      <c r="C89" s="10"/>
      <c r="D89" s="11">
        <v>0.75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5">
        <f t="shared" si="15"/>
        <v>0</v>
      </c>
      <c r="P89" s="12">
        <f t="shared" si="16"/>
        <v>0</v>
      </c>
    </row>
    <row r="90" spans="1:39" ht="160" x14ac:dyDescent="0.2">
      <c r="A90" s="14" t="s">
        <v>186</v>
      </c>
      <c r="B90" s="14" t="s">
        <v>256</v>
      </c>
      <c r="C90" s="10"/>
      <c r="D90" s="11">
        <v>0.75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5">
        <f t="shared" si="15"/>
        <v>0</v>
      </c>
      <c r="P90" s="12">
        <f t="shared" si="16"/>
        <v>0</v>
      </c>
    </row>
    <row r="91" spans="1:39" ht="47" customHeight="1" x14ac:dyDescent="0.2"/>
    <row r="92" spans="1:39" s="24" customFormat="1" ht="54" customHeight="1" x14ac:dyDescent="0.2">
      <c r="O92" s="24" t="s">
        <v>114</v>
      </c>
      <c r="P92" s="63">
        <f>SUM(P4:P90)</f>
        <v>0</v>
      </c>
    </row>
  </sheetData>
  <phoneticPr fontId="2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2F1A-FF13-7E47-8BFB-FCF3517E9107}">
  <sheetPr>
    <tabColor theme="4"/>
  </sheetPr>
  <dimension ref="A1:R92"/>
  <sheetViews>
    <sheetView zoomScale="60" zoomScaleNormal="60" workbookViewId="0">
      <selection activeCell="E55" sqref="E55"/>
    </sheetView>
  </sheetViews>
  <sheetFormatPr baseColWidth="10" defaultRowHeight="16" x14ac:dyDescent="0.2"/>
  <cols>
    <col min="1" max="1" width="44.1640625" customWidth="1"/>
    <col min="2" max="2" width="45.5" customWidth="1"/>
    <col min="3" max="3" width="38.33203125" customWidth="1"/>
    <col min="4" max="4" width="45.33203125" customWidth="1"/>
    <col min="5" max="5" width="53.6640625" customWidth="1"/>
    <col min="6" max="6" width="45.33203125" customWidth="1"/>
    <col min="7" max="7" width="51" customWidth="1"/>
    <col min="8" max="9" width="53.1640625" customWidth="1"/>
    <col min="10" max="10" width="45" customWidth="1"/>
    <col min="11" max="11" width="7.5" customWidth="1"/>
    <col min="12" max="12" width="7" customWidth="1"/>
    <col min="13" max="13" width="7.1640625" customWidth="1"/>
    <col min="14" max="14" width="6.6640625" customWidth="1"/>
    <col min="15" max="15" width="21.6640625" customWidth="1"/>
    <col min="16" max="16" width="32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242</v>
      </c>
      <c r="F1" s="4" t="s">
        <v>244</v>
      </c>
      <c r="G1" s="4" t="s">
        <v>246</v>
      </c>
      <c r="H1" s="4" t="s">
        <v>248</v>
      </c>
      <c r="I1" s="4" t="s">
        <v>300</v>
      </c>
      <c r="J1" s="4" t="s">
        <v>250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O5" s="1">
        <f t="shared" ref="O5:O74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E8" s="1">
        <f>4*E3</f>
        <v>0</v>
      </c>
      <c r="F8" s="1">
        <f>4*F3</f>
        <v>0</v>
      </c>
      <c r="I8" s="1">
        <f>6*I3</f>
        <v>0</v>
      </c>
      <c r="J8" s="1">
        <f>6*J3</f>
        <v>0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E9" s="1">
        <f>2*E3</f>
        <v>0</v>
      </c>
      <c r="F9" s="1">
        <f>2*F3</f>
        <v>0</v>
      </c>
      <c r="G9" s="1">
        <f>6*G3</f>
        <v>0</v>
      </c>
      <c r="H9" s="1">
        <f>6*H3</f>
        <v>0</v>
      </c>
      <c r="I9" s="1">
        <f>2*I3</f>
        <v>0</v>
      </c>
      <c r="J9" s="1">
        <f>2*J3</f>
        <v>0</v>
      </c>
      <c r="O9" s="1">
        <f t="shared" si="1"/>
        <v>0</v>
      </c>
      <c r="P9" s="12">
        <f t="shared" si="0"/>
        <v>0</v>
      </c>
    </row>
    <row r="10" spans="1:18" s="1" customFormat="1" ht="128" x14ac:dyDescent="0.35">
      <c r="A10" s="9" t="s">
        <v>2</v>
      </c>
      <c r="B10" s="9" t="s">
        <v>48</v>
      </c>
      <c r="C10" s="10" t="s">
        <v>90</v>
      </c>
      <c r="D10" s="11">
        <v>2.4472</v>
      </c>
      <c r="O10" s="1">
        <f t="shared" si="1"/>
        <v>0</v>
      </c>
      <c r="P10" s="12">
        <f t="shared" si="0"/>
        <v>0</v>
      </c>
    </row>
    <row r="11" spans="1:18" s="1" customFormat="1" ht="128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8*H3</f>
        <v>0</v>
      </c>
      <c r="O11" s="1">
        <f t="shared" si="1"/>
        <v>0</v>
      </c>
      <c r="P11" s="12">
        <f t="shared" si="0"/>
        <v>0</v>
      </c>
    </row>
    <row r="12" spans="1:18" s="1" customFormat="1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ref="O13:O16" si="2">SUM(E13:J13)</f>
        <v>0</v>
      </c>
      <c r="P13" s="12">
        <f t="shared" si="0"/>
        <v>0</v>
      </c>
    </row>
    <row r="14" spans="1:18" s="1" customFormat="1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2"/>
        <v>0</v>
      </c>
      <c r="P14" s="12">
        <f t="shared" si="0"/>
        <v>0</v>
      </c>
    </row>
    <row r="15" spans="1:18" s="1" customFormat="1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2"/>
        <v>0</v>
      </c>
      <c r="P15" s="12">
        <f t="shared" si="0"/>
        <v>0</v>
      </c>
    </row>
    <row r="16" spans="1:18" s="1" customFormat="1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2"/>
        <v>0</v>
      </c>
      <c r="P16" s="12">
        <f t="shared" si="0"/>
        <v>0</v>
      </c>
    </row>
    <row r="17" spans="1:16" s="1" customFormat="1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ref="O17" si="3">SUM(E17:J17)</f>
        <v>0</v>
      </c>
      <c r="P17" s="12">
        <f t="shared" si="0"/>
        <v>0</v>
      </c>
    </row>
    <row r="18" spans="1:16" s="1" customFormat="1" ht="128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O18" s="1">
        <f t="shared" si="1"/>
        <v>0</v>
      </c>
      <c r="P18" s="12">
        <f t="shared" si="0"/>
        <v>0</v>
      </c>
    </row>
    <row r="19" spans="1:16" s="1" customFormat="1" ht="128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128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O20" s="1">
        <f t="shared" si="1"/>
        <v>0</v>
      </c>
      <c r="P20" s="12">
        <f t="shared" si="0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ref="O28" si="4">SUM(E28:J28)</f>
        <v>0</v>
      </c>
      <c r="P28" s="12">
        <f t="shared" si="0"/>
        <v>0</v>
      </c>
    </row>
    <row r="29" spans="1:16" s="1" customFormat="1" ht="128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128" x14ac:dyDescent="0.2">
      <c r="A30" s="78" t="s">
        <v>312</v>
      </c>
      <c r="B30" s="14" t="s">
        <v>173</v>
      </c>
      <c r="C30" s="10"/>
      <c r="D30" s="11">
        <v>7.2</v>
      </c>
      <c r="O30" s="1">
        <f t="shared" ref="O30" si="5">SUM(E30:J30)</f>
        <v>0</v>
      </c>
      <c r="P30" s="12">
        <f t="shared" si="0"/>
        <v>0</v>
      </c>
    </row>
    <row r="31" spans="1:16" s="1" customFormat="1" ht="128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6">D36*O36</f>
        <v>0</v>
      </c>
    </row>
    <row r="37" spans="1:16" s="1" customFormat="1" ht="96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F37" s="1">
        <f>7*F3</f>
        <v>0</v>
      </c>
      <c r="H37" s="1">
        <f>8*H3</f>
        <v>0</v>
      </c>
      <c r="O37" s="1">
        <f t="shared" si="1"/>
        <v>0</v>
      </c>
      <c r="P37" s="12">
        <f t="shared" si="6"/>
        <v>0</v>
      </c>
    </row>
    <row r="38" spans="1:16" s="1" customFormat="1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1">
        <f>7*E3</f>
        <v>0</v>
      </c>
      <c r="G38" s="1">
        <f>8*G3</f>
        <v>0</v>
      </c>
      <c r="J38" s="1">
        <f>9*J3</f>
        <v>0</v>
      </c>
      <c r="O38" s="1">
        <f t="shared" si="1"/>
        <v>0</v>
      </c>
      <c r="P38" s="12">
        <f t="shared" si="6"/>
        <v>0</v>
      </c>
    </row>
    <row r="39" spans="1:16" s="1" customFormat="1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I39" s="1">
        <f>9*I3</f>
        <v>0</v>
      </c>
      <c r="O39" s="1">
        <f t="shared" si="1"/>
        <v>0</v>
      </c>
      <c r="P39" s="12">
        <f t="shared" si="6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6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6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6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6"/>
        <v>0</v>
      </c>
    </row>
    <row r="44" spans="1:16" s="1" customFormat="1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F44" s="1">
        <f>12*F3</f>
        <v>0</v>
      </c>
      <c r="H44" s="1">
        <f>14*H3</f>
        <v>0</v>
      </c>
      <c r="O44" s="1">
        <f t="shared" si="1"/>
        <v>0</v>
      </c>
      <c r="P44" s="12">
        <f t="shared" si="6"/>
        <v>0</v>
      </c>
    </row>
    <row r="45" spans="1:16" s="1" customFormat="1" ht="96" x14ac:dyDescent="0.2">
      <c r="A45" s="9" t="s">
        <v>13</v>
      </c>
      <c r="B45" s="9" t="s">
        <v>60</v>
      </c>
      <c r="C45" s="10"/>
      <c r="D45" s="11">
        <v>0.73</v>
      </c>
      <c r="E45" s="1">
        <f>12*E3</f>
        <v>0</v>
      </c>
      <c r="G45" s="1">
        <f>14*G3</f>
        <v>0</v>
      </c>
      <c r="J45" s="1">
        <f>16*J3</f>
        <v>0</v>
      </c>
      <c r="O45" s="1">
        <f t="shared" si="1"/>
        <v>0</v>
      </c>
      <c r="P45" s="12">
        <f t="shared" si="6"/>
        <v>0</v>
      </c>
    </row>
    <row r="46" spans="1:16" s="1" customFormat="1" ht="96" x14ac:dyDescent="0.2">
      <c r="A46" s="9" t="s">
        <v>135</v>
      </c>
      <c r="B46" s="9" t="s">
        <v>134</v>
      </c>
      <c r="C46" s="10"/>
      <c r="D46" s="11">
        <v>0.73</v>
      </c>
      <c r="I46" s="1">
        <f>16*I3</f>
        <v>0</v>
      </c>
      <c r="O46" s="1">
        <f t="shared" si="1"/>
        <v>0</v>
      </c>
      <c r="P46" s="12">
        <f t="shared" si="6"/>
        <v>0</v>
      </c>
    </row>
    <row r="47" spans="1:16" s="1" customFormat="1" ht="96" x14ac:dyDescent="0.2">
      <c r="A47" s="14" t="s">
        <v>14</v>
      </c>
      <c r="B47" s="14" t="s">
        <v>61</v>
      </c>
      <c r="C47" s="10"/>
      <c r="D47" s="11">
        <v>1.8620000000000001</v>
      </c>
      <c r="E47" s="1">
        <f t="shared" ref="E47:J47" si="7">1*E3</f>
        <v>0</v>
      </c>
      <c r="F47" s="1">
        <f t="shared" si="7"/>
        <v>0</v>
      </c>
      <c r="G47" s="1">
        <f t="shared" si="7"/>
        <v>0</v>
      </c>
      <c r="H47" s="1">
        <f t="shared" si="7"/>
        <v>0</v>
      </c>
      <c r="I47" s="1">
        <f t="shared" si="7"/>
        <v>0</v>
      </c>
      <c r="J47" s="1">
        <f t="shared" si="7"/>
        <v>0</v>
      </c>
      <c r="O47" s="1">
        <f t="shared" si="1"/>
        <v>0</v>
      </c>
      <c r="P47" s="12">
        <f t="shared" si="6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O48" s="1">
        <f t="shared" si="1"/>
        <v>0</v>
      </c>
      <c r="P48" s="12">
        <f t="shared" si="6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O49" s="1">
        <f t="shared" si="1"/>
        <v>0</v>
      </c>
      <c r="P49" s="12">
        <f t="shared" si="6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6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I51" s="1">
        <f>2*I3</f>
        <v>0</v>
      </c>
      <c r="J51" s="1">
        <f>2*J3</f>
        <v>0</v>
      </c>
      <c r="O51" s="1">
        <f t="shared" si="1"/>
        <v>0</v>
      </c>
      <c r="P51" s="12">
        <f t="shared" si="6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G52" s="1">
        <f>2*G3</f>
        <v>0</v>
      </c>
      <c r="H52" s="1">
        <f>2*H3</f>
        <v>0</v>
      </c>
      <c r="O52" s="1">
        <f t="shared" si="1"/>
        <v>0</v>
      </c>
      <c r="P52" s="12">
        <f t="shared" si="6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E53" s="1">
        <f>2*E3</f>
        <v>0</v>
      </c>
      <c r="F53" s="1">
        <f>2*F3</f>
        <v>0</v>
      </c>
      <c r="O53" s="1">
        <f t="shared" si="1"/>
        <v>0</v>
      </c>
      <c r="P53" s="12">
        <f t="shared" si="6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F54" s="1">
        <f>2*F3</f>
        <v>0</v>
      </c>
      <c r="H54" s="1">
        <f>2*H3</f>
        <v>0</v>
      </c>
      <c r="O54" s="1">
        <f t="shared" si="1"/>
        <v>0</v>
      </c>
      <c r="P54" s="12">
        <f t="shared" si="6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2*E3</f>
        <v>0</v>
      </c>
      <c r="G55" s="1">
        <f>2*G3</f>
        <v>0</v>
      </c>
      <c r="J55" s="1">
        <f>2*J3</f>
        <v>0</v>
      </c>
      <c r="O55" s="1">
        <f t="shared" si="1"/>
        <v>0</v>
      </c>
      <c r="P55" s="12">
        <f t="shared" si="6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I56" s="1">
        <f>2*I3</f>
        <v>0</v>
      </c>
      <c r="O56" s="1">
        <f t="shared" si="1"/>
        <v>0</v>
      </c>
      <c r="P56" s="12">
        <f t="shared" si="6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 t="shared" ref="E57:J57" si="8">2*E3</f>
        <v>0</v>
      </c>
      <c r="F57" s="1">
        <f t="shared" si="8"/>
        <v>0</v>
      </c>
      <c r="G57" s="1">
        <f t="shared" si="8"/>
        <v>0</v>
      </c>
      <c r="H57" s="1">
        <f t="shared" si="8"/>
        <v>0</v>
      </c>
      <c r="I57" s="1">
        <f t="shared" si="8"/>
        <v>0</v>
      </c>
      <c r="J57" s="1">
        <f t="shared" si="8"/>
        <v>0</v>
      </c>
      <c r="O57" s="1">
        <f t="shared" si="1"/>
        <v>0</v>
      </c>
      <c r="P57" s="12">
        <f t="shared" si="6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 t="shared" ref="E58:J58" si="9">2*E3</f>
        <v>0</v>
      </c>
      <c r="F58" s="1">
        <f t="shared" si="9"/>
        <v>0</v>
      </c>
      <c r="G58" s="1">
        <f t="shared" si="9"/>
        <v>0</v>
      </c>
      <c r="H58" s="1">
        <f t="shared" si="9"/>
        <v>0</v>
      </c>
      <c r="I58" s="1">
        <f t="shared" si="9"/>
        <v>0</v>
      </c>
      <c r="J58" s="1">
        <f t="shared" si="9"/>
        <v>0</v>
      </c>
      <c r="O58" s="1">
        <f t="shared" si="1"/>
        <v>0</v>
      </c>
      <c r="P58" s="12">
        <f t="shared" si="6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 t="shared" ref="E59:J59" si="10">2*E3</f>
        <v>0</v>
      </c>
      <c r="F59" s="1">
        <f t="shared" si="10"/>
        <v>0</v>
      </c>
      <c r="G59" s="1">
        <f t="shared" si="10"/>
        <v>0</v>
      </c>
      <c r="H59" s="1">
        <f t="shared" si="10"/>
        <v>0</v>
      </c>
      <c r="I59" s="1">
        <f t="shared" si="10"/>
        <v>0</v>
      </c>
      <c r="J59" s="1">
        <f t="shared" si="10"/>
        <v>0</v>
      </c>
      <c r="O59" s="1">
        <f t="shared" si="1"/>
        <v>0</v>
      </c>
      <c r="P59" s="12">
        <f t="shared" si="6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 t="shared" ref="E60:J60" si="11">2*E3</f>
        <v>0</v>
      </c>
      <c r="F60" s="1">
        <f t="shared" si="11"/>
        <v>0</v>
      </c>
      <c r="G60" s="1">
        <f t="shared" si="11"/>
        <v>0</v>
      </c>
      <c r="H60" s="1">
        <f t="shared" si="11"/>
        <v>0</v>
      </c>
      <c r="I60" s="1">
        <f t="shared" si="11"/>
        <v>0</v>
      </c>
      <c r="J60" s="1">
        <f t="shared" si="11"/>
        <v>0</v>
      </c>
      <c r="O60" s="1">
        <f t="shared" si="1"/>
        <v>0</v>
      </c>
      <c r="P60" s="12">
        <f t="shared" si="6"/>
        <v>0</v>
      </c>
    </row>
    <row r="61" spans="1:16" s="1" customFormat="1" ht="96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6"/>
        <v>0</v>
      </c>
    </row>
    <row r="62" spans="1:16" s="1" customFormat="1" ht="224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O62" s="1">
        <f t="shared" si="1"/>
        <v>0</v>
      </c>
      <c r="P62" s="12">
        <f t="shared" si="6"/>
        <v>0</v>
      </c>
    </row>
    <row r="63" spans="1:16" s="1" customFormat="1" ht="224" x14ac:dyDescent="0.2">
      <c r="A63" s="14" t="s">
        <v>28</v>
      </c>
      <c r="B63" s="14" t="s">
        <v>74</v>
      </c>
      <c r="C63" s="10" t="s">
        <v>96</v>
      </c>
      <c r="D63" s="11">
        <v>6.8</v>
      </c>
      <c r="O63" s="1">
        <f t="shared" si="1"/>
        <v>0</v>
      </c>
      <c r="P63" s="12">
        <f t="shared" si="6"/>
        <v>0</v>
      </c>
    </row>
    <row r="64" spans="1:16" s="1" customFormat="1" ht="96" x14ac:dyDescent="0.2">
      <c r="A64" s="14" t="s">
        <v>29</v>
      </c>
      <c r="B64" s="14" t="s">
        <v>75</v>
      </c>
      <c r="C64" s="10"/>
      <c r="D64" s="11">
        <v>1.1399999999999999</v>
      </c>
      <c r="E64" s="1">
        <f>2*E3</f>
        <v>0</v>
      </c>
      <c r="F64" s="1">
        <f>2*F3</f>
        <v>0</v>
      </c>
      <c r="G64" s="1">
        <f>2*G3</f>
        <v>0</v>
      </c>
      <c r="H64" s="1">
        <f>2*H3</f>
        <v>0</v>
      </c>
      <c r="J64" s="1">
        <f>2*J3</f>
        <v>0</v>
      </c>
      <c r="O64" s="1">
        <f t="shared" si="1"/>
        <v>0</v>
      </c>
      <c r="P64" s="12">
        <f t="shared" si="6"/>
        <v>0</v>
      </c>
    </row>
    <row r="65" spans="1:16" s="1" customFormat="1" ht="64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6"/>
        <v>0</v>
      </c>
    </row>
    <row r="66" spans="1:16" s="1" customFormat="1" ht="64" x14ac:dyDescent="0.2">
      <c r="A66" s="14" t="s">
        <v>31</v>
      </c>
      <c r="B66" s="14" t="s">
        <v>187</v>
      </c>
      <c r="C66" s="10"/>
      <c r="D66" s="11">
        <v>2.15</v>
      </c>
      <c r="O66" s="1">
        <f t="shared" si="1"/>
        <v>0</v>
      </c>
      <c r="P66" s="12">
        <f t="shared" si="6"/>
        <v>0</v>
      </c>
    </row>
    <row r="67" spans="1:16" s="1" customFormat="1" ht="96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6"/>
        <v>0</v>
      </c>
    </row>
    <row r="68" spans="1:16" s="1" customFormat="1" ht="96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12">D68*O68</f>
        <v>0</v>
      </c>
    </row>
    <row r="69" spans="1:16" s="1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I69" s="1">
        <f>1*I3</f>
        <v>0</v>
      </c>
      <c r="J69" s="1">
        <f>1*J3</f>
        <v>0</v>
      </c>
      <c r="O69" s="1">
        <f t="shared" si="1"/>
        <v>0</v>
      </c>
      <c r="P69" s="12">
        <f t="shared" si="12"/>
        <v>0</v>
      </c>
    </row>
    <row r="70" spans="1:16" s="1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I70" s="1">
        <f>1*I3</f>
        <v>0</v>
      </c>
      <c r="J70" s="1">
        <f>1*J3</f>
        <v>0</v>
      </c>
      <c r="O70" s="1">
        <f t="shared" si="1"/>
        <v>0</v>
      </c>
      <c r="P70" s="12">
        <f t="shared" si="12"/>
        <v>0</v>
      </c>
    </row>
    <row r="71" spans="1:16" s="1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G71" s="1">
        <f>1*G3</f>
        <v>0</v>
      </c>
      <c r="H71" s="1">
        <f>1*H3</f>
        <v>0</v>
      </c>
      <c r="O71" s="1">
        <f t="shared" si="1"/>
        <v>0</v>
      </c>
      <c r="P71" s="12">
        <f t="shared" si="12"/>
        <v>0</v>
      </c>
    </row>
    <row r="72" spans="1:16" s="1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G72" s="1">
        <f>1*G3</f>
        <v>0</v>
      </c>
      <c r="H72" s="1">
        <f>1*H3</f>
        <v>0</v>
      </c>
      <c r="O72" s="1">
        <f t="shared" si="1"/>
        <v>0</v>
      </c>
      <c r="P72" s="12">
        <f t="shared" si="12"/>
        <v>0</v>
      </c>
    </row>
    <row r="73" spans="1:16" s="1" customFormat="1" ht="96" x14ac:dyDescent="0.2">
      <c r="A73" s="14" t="s">
        <v>34</v>
      </c>
      <c r="B73" s="14" t="s">
        <v>79</v>
      </c>
      <c r="C73" s="10"/>
      <c r="D73" s="11">
        <v>3.3879999999999999</v>
      </c>
      <c r="E73" s="1">
        <f>1*E3</f>
        <v>0</v>
      </c>
      <c r="F73" s="1">
        <f>1*F3</f>
        <v>0</v>
      </c>
      <c r="O73" s="1">
        <f t="shared" si="1"/>
        <v>0</v>
      </c>
      <c r="P73" s="12">
        <f t="shared" si="12"/>
        <v>0</v>
      </c>
    </row>
    <row r="74" spans="1:16" s="1" customFormat="1" ht="96" x14ac:dyDescent="0.2">
      <c r="A74" s="14" t="s">
        <v>35</v>
      </c>
      <c r="B74" s="14" t="s">
        <v>80</v>
      </c>
      <c r="C74" s="10"/>
      <c r="D74" s="11">
        <v>3.3879999999999999</v>
      </c>
      <c r="E74" s="1">
        <f>1*E3</f>
        <v>0</v>
      </c>
      <c r="F74" s="1">
        <f>1*F3</f>
        <v>0</v>
      </c>
      <c r="O74" s="1">
        <f t="shared" si="1"/>
        <v>0</v>
      </c>
      <c r="P74" s="12">
        <f t="shared" si="12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ref="O75:O90" si="13">SUM(E75:J75)</f>
        <v>0</v>
      </c>
      <c r="P75" s="12">
        <f t="shared" si="12"/>
        <v>0</v>
      </c>
    </row>
    <row r="76" spans="1:16" s="1" customFormat="1" ht="96" x14ac:dyDescent="0.2">
      <c r="A76" s="14" t="s">
        <v>37</v>
      </c>
      <c r="B76" s="14" t="s">
        <v>82</v>
      </c>
      <c r="C76" s="10"/>
      <c r="D76" s="11">
        <v>2.702</v>
      </c>
      <c r="E76" s="1">
        <f>1*E3</f>
        <v>0</v>
      </c>
      <c r="F76" s="1">
        <f t="shared" ref="F76:J76" si="14">1*F3</f>
        <v>0</v>
      </c>
      <c r="G76" s="1">
        <f t="shared" si="14"/>
        <v>0</v>
      </c>
      <c r="H76" s="1">
        <f t="shared" si="14"/>
        <v>0</v>
      </c>
      <c r="I76" s="1">
        <f t="shared" si="14"/>
        <v>0</v>
      </c>
      <c r="J76" s="1">
        <f t="shared" si="14"/>
        <v>0</v>
      </c>
      <c r="O76" s="1">
        <f t="shared" si="13"/>
        <v>0</v>
      </c>
      <c r="P76" s="12">
        <f t="shared" si="12"/>
        <v>0</v>
      </c>
    </row>
    <row r="77" spans="1:16" s="1" customFormat="1" ht="96" x14ac:dyDescent="0.2">
      <c r="A77" s="14" t="s">
        <v>38</v>
      </c>
      <c r="B77" s="14" t="s">
        <v>83</v>
      </c>
      <c r="C77" s="10"/>
      <c r="D77" s="11">
        <v>0.68599999999999994</v>
      </c>
      <c r="F77" s="1">
        <f>1*F3</f>
        <v>0</v>
      </c>
      <c r="H77" s="1">
        <f>1*H3</f>
        <v>0</v>
      </c>
      <c r="O77" s="1">
        <f t="shared" si="13"/>
        <v>0</v>
      </c>
      <c r="P77" s="12">
        <f t="shared" si="12"/>
        <v>0</v>
      </c>
    </row>
    <row r="78" spans="1:16" s="1" customFormat="1" ht="96" x14ac:dyDescent="0.2">
      <c r="A78" s="14" t="s">
        <v>39</v>
      </c>
      <c r="B78" s="14" t="s">
        <v>84</v>
      </c>
      <c r="C78" s="10"/>
      <c r="D78" s="11">
        <v>0.68599999999999994</v>
      </c>
      <c r="F78" s="1">
        <f>1*F3</f>
        <v>0</v>
      </c>
      <c r="H78" s="1">
        <f>1*H3</f>
        <v>0</v>
      </c>
      <c r="O78" s="1">
        <f t="shared" si="13"/>
        <v>0</v>
      </c>
      <c r="P78" s="12">
        <f t="shared" si="12"/>
        <v>0</v>
      </c>
    </row>
    <row r="79" spans="1:16" s="1" customFormat="1" ht="96" x14ac:dyDescent="0.2">
      <c r="A79" s="14" t="s">
        <v>40</v>
      </c>
      <c r="B79" s="14" t="s">
        <v>85</v>
      </c>
      <c r="C79" s="10"/>
      <c r="D79" s="11">
        <v>0.98</v>
      </c>
      <c r="E79" s="1">
        <f>1*E3</f>
        <v>0</v>
      </c>
      <c r="G79" s="1">
        <f>1*G3</f>
        <v>0</v>
      </c>
      <c r="J79" s="1">
        <f>1*J3</f>
        <v>0</v>
      </c>
      <c r="O79" s="1">
        <f t="shared" si="13"/>
        <v>0</v>
      </c>
      <c r="P79" s="12">
        <f t="shared" si="12"/>
        <v>0</v>
      </c>
    </row>
    <row r="80" spans="1:16" s="1" customFormat="1" ht="96" x14ac:dyDescent="0.2">
      <c r="A80" s="14" t="s">
        <v>41</v>
      </c>
      <c r="B80" s="15" t="s">
        <v>254</v>
      </c>
      <c r="C80" s="16"/>
      <c r="D80" s="11">
        <v>0.98</v>
      </c>
      <c r="E80" s="1">
        <f>1*E3</f>
        <v>0</v>
      </c>
      <c r="G80" s="1">
        <f>1*G3</f>
        <v>0</v>
      </c>
      <c r="J80" s="1">
        <f>1*J3</f>
        <v>0</v>
      </c>
      <c r="O80" s="1">
        <f t="shared" si="13"/>
        <v>0</v>
      </c>
      <c r="P80" s="12">
        <f t="shared" si="12"/>
        <v>0</v>
      </c>
    </row>
    <row r="81" spans="1:16" s="1" customFormat="1" ht="96" x14ac:dyDescent="0.2">
      <c r="A81" s="14" t="s">
        <v>136</v>
      </c>
      <c r="B81" s="14" t="s">
        <v>132</v>
      </c>
      <c r="C81" s="10"/>
      <c r="D81" s="11">
        <v>0.98</v>
      </c>
      <c r="I81" s="1">
        <f>1*I3</f>
        <v>0</v>
      </c>
      <c r="O81" s="1">
        <f t="shared" si="13"/>
        <v>0</v>
      </c>
      <c r="P81" s="12">
        <f t="shared" si="12"/>
        <v>0</v>
      </c>
    </row>
    <row r="82" spans="1:16" s="1" customFormat="1" ht="96" x14ac:dyDescent="0.2">
      <c r="A82" s="14" t="s">
        <v>137</v>
      </c>
      <c r="B82" s="15" t="s">
        <v>255</v>
      </c>
      <c r="C82" s="16"/>
      <c r="D82" s="11">
        <v>0.98</v>
      </c>
      <c r="I82" s="1">
        <f>1*I3</f>
        <v>0</v>
      </c>
      <c r="O82" s="1">
        <f t="shared" si="13"/>
        <v>0</v>
      </c>
      <c r="P82" s="12">
        <f t="shared" si="12"/>
        <v>0</v>
      </c>
    </row>
    <row r="83" spans="1:16" s="1" customFormat="1" ht="160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13"/>
        <v>0</v>
      </c>
      <c r="P83" s="12">
        <f t="shared" si="12"/>
        <v>0</v>
      </c>
    </row>
    <row r="84" spans="1:16" s="1" customFormat="1" ht="384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13"/>
        <v>0</v>
      </c>
      <c r="P84" s="12">
        <f t="shared" si="12"/>
        <v>0</v>
      </c>
    </row>
    <row r="85" spans="1:16" s="1" customFormat="1" ht="384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13"/>
        <v>0</v>
      </c>
      <c r="P85" s="12">
        <f t="shared" si="12"/>
        <v>0</v>
      </c>
    </row>
    <row r="86" spans="1:16" s="1" customFormat="1" ht="384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13"/>
        <v>0</v>
      </c>
      <c r="P86" s="12">
        <f t="shared" si="12"/>
        <v>0</v>
      </c>
    </row>
    <row r="87" spans="1:16" s="1" customFormat="1" ht="160" x14ac:dyDescent="0.2">
      <c r="A87" s="14" t="s">
        <v>180</v>
      </c>
      <c r="B87" s="10" t="s">
        <v>181</v>
      </c>
      <c r="C87" s="10"/>
      <c r="D87" s="11">
        <v>0.75</v>
      </c>
      <c r="O87" s="1">
        <f t="shared" si="13"/>
        <v>0</v>
      </c>
      <c r="P87" s="12">
        <f t="shared" si="12"/>
        <v>0</v>
      </c>
    </row>
    <row r="88" spans="1:16" s="1" customFormat="1" ht="160" x14ac:dyDescent="0.2">
      <c r="A88" s="14" t="s">
        <v>182</v>
      </c>
      <c r="B88" s="10" t="s">
        <v>183</v>
      </c>
      <c r="C88" s="10"/>
      <c r="D88" s="11">
        <v>0.75</v>
      </c>
      <c r="O88" s="1">
        <f t="shared" si="13"/>
        <v>0</v>
      </c>
      <c r="P88" s="12">
        <f t="shared" si="12"/>
        <v>0</v>
      </c>
    </row>
    <row r="89" spans="1:16" s="1" customFormat="1" ht="160" x14ac:dyDescent="0.2">
      <c r="A89" s="14" t="s">
        <v>184</v>
      </c>
      <c r="B89" s="10" t="s">
        <v>185</v>
      </c>
      <c r="C89" s="10"/>
      <c r="D89" s="11">
        <v>0.75</v>
      </c>
      <c r="O89" s="1">
        <f t="shared" si="13"/>
        <v>0</v>
      </c>
      <c r="P89" s="12">
        <f t="shared" si="12"/>
        <v>0</v>
      </c>
    </row>
    <row r="90" spans="1:16" s="1" customFormat="1" ht="160" x14ac:dyDescent="0.2">
      <c r="A90" s="14" t="s">
        <v>186</v>
      </c>
      <c r="B90" s="14" t="s">
        <v>256</v>
      </c>
      <c r="C90" s="10"/>
      <c r="D90" s="11">
        <v>0.75</v>
      </c>
      <c r="O90" s="1">
        <f t="shared" si="13"/>
        <v>0</v>
      </c>
      <c r="P90" s="12">
        <f t="shared" si="12"/>
        <v>0</v>
      </c>
    </row>
    <row r="91" spans="1:16" s="1" customFormat="1" ht="56" customHeight="1" x14ac:dyDescent="0.2"/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1CEE-DFF2-7C46-B6E9-0B0BAA5E31B6}">
  <sheetPr>
    <tabColor theme="4"/>
  </sheetPr>
  <dimension ref="A1:R92"/>
  <sheetViews>
    <sheetView topLeftCell="F1" zoomScale="89" workbookViewId="0">
      <selection activeCell="I7" sqref="I7"/>
    </sheetView>
  </sheetViews>
  <sheetFormatPr baseColWidth="10" defaultRowHeight="16" x14ac:dyDescent="0.2"/>
  <cols>
    <col min="1" max="1" width="44.1640625" customWidth="1"/>
    <col min="2" max="2" width="45.5" customWidth="1"/>
    <col min="3" max="3" width="38.33203125" customWidth="1"/>
    <col min="4" max="4" width="45.33203125" customWidth="1"/>
    <col min="5" max="5" width="53.6640625" customWidth="1"/>
    <col min="6" max="6" width="56" customWidth="1"/>
    <col min="7" max="7" width="50.83203125" customWidth="1"/>
    <col min="8" max="8" width="45.33203125" customWidth="1"/>
    <col min="9" max="9" width="53.6640625" customWidth="1"/>
    <col min="10" max="10" width="54.33203125" customWidth="1"/>
    <col min="11" max="11" width="5" customWidth="1"/>
    <col min="12" max="12" width="5.1640625" customWidth="1"/>
    <col min="13" max="13" width="6.1640625" customWidth="1"/>
    <col min="14" max="14" width="5" customWidth="1"/>
    <col min="15" max="15" width="21.6640625" customWidth="1"/>
    <col min="16" max="16" width="32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301</v>
      </c>
      <c r="F1" s="4" t="s">
        <v>302</v>
      </c>
      <c r="G1" s="4" t="s">
        <v>303</v>
      </c>
      <c r="H1" s="4" t="s">
        <v>317</v>
      </c>
      <c r="I1" s="4" t="s">
        <v>318</v>
      </c>
      <c r="J1" s="4" t="s">
        <v>319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128" x14ac:dyDescent="0.35">
      <c r="A10" s="9" t="s">
        <v>2</v>
      </c>
      <c r="B10" s="9" t="s">
        <v>48</v>
      </c>
      <c r="C10" s="10" t="s">
        <v>90</v>
      </c>
      <c r="D10" s="11">
        <v>2.4472</v>
      </c>
      <c r="O10" s="1">
        <f t="shared" si="1"/>
        <v>0</v>
      </c>
      <c r="P10" s="12">
        <f t="shared" si="0"/>
        <v>0</v>
      </c>
    </row>
    <row r="11" spans="1:18" s="1" customFormat="1" ht="128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O11" s="1">
        <f t="shared" si="1"/>
        <v>0</v>
      </c>
      <c r="P11" s="12">
        <f t="shared" si="0"/>
        <v>0</v>
      </c>
    </row>
    <row r="12" spans="1:18" s="1" customFormat="1" ht="128" x14ac:dyDescent="0.2">
      <c r="A12" s="9" t="s">
        <v>3</v>
      </c>
      <c r="B12" s="9" t="s">
        <v>50</v>
      </c>
      <c r="C12" s="10" t="s">
        <v>91</v>
      </c>
      <c r="D12" s="11">
        <v>3.3874399999999998</v>
      </c>
      <c r="G12" s="1">
        <f>1*G3</f>
        <v>0</v>
      </c>
      <c r="O12" s="1">
        <f t="shared" si="1"/>
        <v>0</v>
      </c>
      <c r="P12" s="12">
        <f t="shared" si="0"/>
        <v>0</v>
      </c>
    </row>
    <row r="13" spans="1:18" s="1" customFormat="1" ht="128" x14ac:dyDescent="0.2">
      <c r="A13" s="9" t="s">
        <v>4</v>
      </c>
      <c r="B13" s="9" t="s">
        <v>51</v>
      </c>
      <c r="C13" s="10" t="s">
        <v>91</v>
      </c>
      <c r="D13" s="11">
        <v>4.0571999999999999</v>
      </c>
      <c r="F13" s="1">
        <f>1*F3</f>
        <v>0</v>
      </c>
      <c r="O13" s="1">
        <f t="shared" si="1"/>
        <v>0</v>
      </c>
      <c r="P13" s="12">
        <f t="shared" si="0"/>
        <v>0</v>
      </c>
    </row>
    <row r="14" spans="1:18" s="1" customFormat="1" ht="128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E14" s="1">
        <f>1*E3</f>
        <v>0</v>
      </c>
      <c r="O14" s="1">
        <f t="shared" si="1"/>
        <v>0</v>
      </c>
      <c r="P14" s="12">
        <f t="shared" si="0"/>
        <v>0</v>
      </c>
    </row>
    <row r="15" spans="1:18" s="1" customFormat="1" ht="128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J15" s="1">
        <f>1*J3</f>
        <v>0</v>
      </c>
      <c r="O15" s="1">
        <f t="shared" si="1"/>
        <v>0</v>
      </c>
      <c r="P15" s="12">
        <f t="shared" si="0"/>
        <v>0</v>
      </c>
    </row>
    <row r="16" spans="1:18" s="1" customFormat="1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I16" s="1">
        <f>1*I3</f>
        <v>0</v>
      </c>
      <c r="O16" s="1">
        <f t="shared" si="1"/>
        <v>0</v>
      </c>
      <c r="P16" s="12">
        <f t="shared" si="0"/>
        <v>0</v>
      </c>
    </row>
    <row r="17" spans="1:16" s="1" customFormat="1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H17" s="1">
        <f>1*H3</f>
        <v>0</v>
      </c>
      <c r="O17" s="1">
        <f t="shared" si="1"/>
        <v>0</v>
      </c>
      <c r="P17" s="12">
        <f t="shared" si="0"/>
        <v>0</v>
      </c>
    </row>
    <row r="18" spans="1:16" s="1" customFormat="1" ht="128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O18" s="1">
        <f t="shared" si="1"/>
        <v>0</v>
      </c>
      <c r="P18" s="12">
        <f t="shared" si="0"/>
        <v>0</v>
      </c>
    </row>
    <row r="19" spans="1:16" s="1" customFormat="1" ht="128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128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O20" s="1">
        <f t="shared" si="1"/>
        <v>0</v>
      </c>
      <c r="P20" s="12">
        <f t="shared" si="0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E24" s="1">
        <f>2*E3</f>
        <v>0</v>
      </c>
      <c r="F24" s="1">
        <f t="shared" ref="F24:J24" si="2">2*F3</f>
        <v>0</v>
      </c>
      <c r="G24" s="1">
        <f t="shared" si="2"/>
        <v>0</v>
      </c>
      <c r="H24" s="1">
        <f t="shared" si="2"/>
        <v>0</v>
      </c>
      <c r="I24" s="1">
        <f t="shared" si="2"/>
        <v>0</v>
      </c>
      <c r="J24" s="1">
        <f t="shared" si="2"/>
        <v>0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E25" s="1">
        <f>6*E3</f>
        <v>0</v>
      </c>
      <c r="F25" s="1">
        <f t="shared" ref="F25:J25" si="3">6*F3</f>
        <v>0</v>
      </c>
      <c r="G25" s="1">
        <f t="shared" si="3"/>
        <v>0</v>
      </c>
      <c r="H25" s="1">
        <f t="shared" si="3"/>
        <v>0</v>
      </c>
      <c r="I25" s="1">
        <f t="shared" si="3"/>
        <v>0</v>
      </c>
      <c r="J25" s="1">
        <f t="shared" si="3"/>
        <v>0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G26" s="1">
        <f>4*G3</f>
        <v>0</v>
      </c>
      <c r="J26" s="1">
        <f>4*J3</f>
        <v>0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14" t="s">
        <v>168</v>
      </c>
      <c r="B27" s="14" t="s">
        <v>169</v>
      </c>
      <c r="C27" s="10"/>
      <c r="D27" s="11">
        <v>7.2</v>
      </c>
      <c r="F27" s="1">
        <f>4*F3</f>
        <v>0</v>
      </c>
      <c r="I27" s="1">
        <f>4*I3</f>
        <v>0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14" t="s">
        <v>313</v>
      </c>
      <c r="B28" s="14" t="s">
        <v>315</v>
      </c>
      <c r="C28" s="10"/>
      <c r="D28" s="11">
        <v>7.2</v>
      </c>
      <c r="E28" s="1">
        <f>4*E3</f>
        <v>0</v>
      </c>
      <c r="H28" s="1">
        <f>4*H3</f>
        <v>0</v>
      </c>
      <c r="O28" s="1">
        <f t="shared" si="1"/>
        <v>0</v>
      </c>
      <c r="P28" s="12">
        <f t="shared" si="0"/>
        <v>0</v>
      </c>
    </row>
    <row r="29" spans="1:16" s="1" customFormat="1" ht="128" x14ac:dyDescent="0.2">
      <c r="A29" s="14" t="s">
        <v>170</v>
      </c>
      <c r="B29" s="14" t="s">
        <v>171</v>
      </c>
      <c r="C29" s="10"/>
      <c r="D29" s="11">
        <v>7.2</v>
      </c>
      <c r="E29" s="1">
        <f>1*E3</f>
        <v>0</v>
      </c>
      <c r="F29" s="1">
        <f t="shared" ref="F29:G29" si="4">1*F3</f>
        <v>0</v>
      </c>
      <c r="G29" s="1">
        <f t="shared" si="4"/>
        <v>0</v>
      </c>
      <c r="O29" s="1">
        <f t="shared" si="1"/>
        <v>0</v>
      </c>
      <c r="P29" s="12">
        <f t="shared" si="0"/>
        <v>0</v>
      </c>
    </row>
    <row r="30" spans="1:16" s="1" customFormat="1" ht="128" x14ac:dyDescent="0.2">
      <c r="A30" s="14" t="s">
        <v>172</v>
      </c>
      <c r="B30" s="14" t="s">
        <v>173</v>
      </c>
      <c r="C30" s="10"/>
      <c r="D30" s="11">
        <v>7.2</v>
      </c>
      <c r="H30" s="1">
        <f>1*H3</f>
        <v>0</v>
      </c>
      <c r="I30" s="1">
        <f t="shared" ref="I30:J30" si="5">1*I3</f>
        <v>0</v>
      </c>
      <c r="J30" s="1">
        <f t="shared" si="5"/>
        <v>0</v>
      </c>
      <c r="O30" s="1">
        <f t="shared" si="1"/>
        <v>0</v>
      </c>
      <c r="P30" s="12">
        <f t="shared" si="0"/>
        <v>0</v>
      </c>
    </row>
    <row r="31" spans="1:16" s="1" customFormat="1" ht="128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6">D36*O36</f>
        <v>0</v>
      </c>
    </row>
    <row r="37" spans="1:16" s="1" customFormat="1" ht="96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6"/>
        <v>0</v>
      </c>
    </row>
    <row r="38" spans="1:16" s="1" customFormat="1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6"/>
        <v>0</v>
      </c>
    </row>
    <row r="39" spans="1:16" s="1" customFormat="1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6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6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6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6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6"/>
        <v>0</v>
      </c>
    </row>
    <row r="44" spans="1:16" s="1" customFormat="1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O44" s="1">
        <f t="shared" si="1"/>
        <v>0</v>
      </c>
      <c r="P44" s="12">
        <f t="shared" si="6"/>
        <v>0</v>
      </c>
    </row>
    <row r="45" spans="1:16" s="1" customFormat="1" ht="96" x14ac:dyDescent="0.2">
      <c r="A45" s="9" t="s">
        <v>13</v>
      </c>
      <c r="B45" s="9" t="s">
        <v>60</v>
      </c>
      <c r="C45" s="10"/>
      <c r="D45" s="11">
        <v>0.73</v>
      </c>
      <c r="O45" s="1">
        <f t="shared" si="1"/>
        <v>0</v>
      </c>
      <c r="P45" s="12">
        <f t="shared" si="6"/>
        <v>0</v>
      </c>
    </row>
    <row r="46" spans="1:16" s="1" customFormat="1" ht="96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6"/>
        <v>0</v>
      </c>
    </row>
    <row r="47" spans="1:16" s="1" customFormat="1" ht="96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6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O48" s="1">
        <f t="shared" si="1"/>
        <v>0</v>
      </c>
      <c r="P48" s="12">
        <f t="shared" si="6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O49" s="1">
        <f t="shared" si="1"/>
        <v>0</v>
      </c>
      <c r="P49" s="12">
        <f t="shared" si="6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6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6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O52" s="1">
        <f t="shared" si="1"/>
        <v>0</v>
      </c>
      <c r="P52" s="12">
        <f t="shared" si="6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O53" s="1">
        <f t="shared" si="1"/>
        <v>0</v>
      </c>
      <c r="P53" s="12">
        <f t="shared" si="6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O54" s="1">
        <f t="shared" si="1"/>
        <v>0</v>
      </c>
      <c r="P54" s="12">
        <f t="shared" si="6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O55" s="1">
        <f t="shared" si="1"/>
        <v>0</v>
      </c>
      <c r="P55" s="12">
        <f t="shared" si="6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6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O57" s="1">
        <f t="shared" si="1"/>
        <v>0</v>
      </c>
      <c r="P57" s="12">
        <f t="shared" si="6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O58" s="1">
        <f t="shared" si="1"/>
        <v>0</v>
      </c>
      <c r="P58" s="12">
        <f t="shared" si="6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O59" s="1">
        <f t="shared" si="1"/>
        <v>0</v>
      </c>
      <c r="P59" s="12">
        <f t="shared" si="6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O60" s="1">
        <f t="shared" si="1"/>
        <v>0</v>
      </c>
      <c r="P60" s="12">
        <f t="shared" si="6"/>
        <v>0</v>
      </c>
    </row>
    <row r="61" spans="1:16" s="1" customFormat="1" ht="96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6"/>
        <v>0</v>
      </c>
    </row>
    <row r="62" spans="1:16" s="1" customFormat="1" ht="224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O62" s="1">
        <f t="shared" si="1"/>
        <v>0</v>
      </c>
      <c r="P62" s="12">
        <f t="shared" si="6"/>
        <v>0</v>
      </c>
    </row>
    <row r="63" spans="1:16" s="1" customFormat="1" ht="224" x14ac:dyDescent="0.2">
      <c r="A63" s="14" t="s">
        <v>28</v>
      </c>
      <c r="B63" s="14" t="s">
        <v>74</v>
      </c>
      <c r="C63" s="10" t="s">
        <v>96</v>
      </c>
      <c r="D63" s="11">
        <v>6.8</v>
      </c>
      <c r="O63" s="1">
        <f t="shared" si="1"/>
        <v>0</v>
      </c>
      <c r="P63" s="12">
        <f t="shared" si="6"/>
        <v>0</v>
      </c>
    </row>
    <row r="64" spans="1:16" s="1" customFormat="1" ht="96" x14ac:dyDescent="0.2">
      <c r="A64" s="14" t="s">
        <v>29</v>
      </c>
      <c r="B64" s="14" t="s">
        <v>75</v>
      </c>
      <c r="C64" s="10"/>
      <c r="D64" s="11">
        <v>1.1399999999999999</v>
      </c>
      <c r="O64" s="1">
        <f t="shared" si="1"/>
        <v>0</v>
      </c>
      <c r="P64" s="12">
        <f t="shared" si="6"/>
        <v>0</v>
      </c>
    </row>
    <row r="65" spans="1:16" s="1" customFormat="1" ht="64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6"/>
        <v>0</v>
      </c>
    </row>
    <row r="66" spans="1:16" s="1" customFormat="1" ht="64" x14ac:dyDescent="0.2">
      <c r="A66" s="14" t="s">
        <v>31</v>
      </c>
      <c r="B66" s="14" t="s">
        <v>187</v>
      </c>
      <c r="C66" s="10"/>
      <c r="D66" s="11">
        <v>2.15</v>
      </c>
      <c r="O66" s="1">
        <f t="shared" si="1"/>
        <v>0</v>
      </c>
      <c r="P66" s="12">
        <f t="shared" si="6"/>
        <v>0</v>
      </c>
    </row>
    <row r="67" spans="1:16" s="1" customFormat="1" ht="96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6"/>
        <v>0</v>
      </c>
    </row>
    <row r="68" spans="1:16" s="1" customFormat="1" ht="96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7">D68*O68</f>
        <v>0</v>
      </c>
    </row>
    <row r="69" spans="1:16" s="1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0" si="8">SUM(E69:J69)</f>
        <v>0</v>
      </c>
      <c r="P69" s="12">
        <f t="shared" si="7"/>
        <v>0</v>
      </c>
    </row>
    <row r="70" spans="1:16" s="1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8"/>
        <v>0</v>
      </c>
      <c r="P70" s="12">
        <f t="shared" si="7"/>
        <v>0</v>
      </c>
    </row>
    <row r="71" spans="1:16" s="1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O71" s="1">
        <f t="shared" si="8"/>
        <v>0</v>
      </c>
      <c r="P71" s="12">
        <f t="shared" si="7"/>
        <v>0</v>
      </c>
    </row>
    <row r="72" spans="1:16" s="1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O72" s="1">
        <f t="shared" si="8"/>
        <v>0</v>
      </c>
      <c r="P72" s="12">
        <f t="shared" si="7"/>
        <v>0</v>
      </c>
    </row>
    <row r="73" spans="1:16" s="1" customFormat="1" ht="96" x14ac:dyDescent="0.2">
      <c r="A73" s="14" t="s">
        <v>34</v>
      </c>
      <c r="B73" s="14" t="s">
        <v>79</v>
      </c>
      <c r="C73" s="10"/>
      <c r="D73" s="11">
        <v>3.3879999999999999</v>
      </c>
      <c r="O73" s="1">
        <f t="shared" si="8"/>
        <v>0</v>
      </c>
      <c r="P73" s="12">
        <f t="shared" si="7"/>
        <v>0</v>
      </c>
    </row>
    <row r="74" spans="1:16" s="1" customFormat="1" ht="96" x14ac:dyDescent="0.2">
      <c r="A74" s="14" t="s">
        <v>35</v>
      </c>
      <c r="B74" s="14" t="s">
        <v>80</v>
      </c>
      <c r="C74" s="10"/>
      <c r="D74" s="11">
        <v>3.3879999999999999</v>
      </c>
      <c r="O74" s="1">
        <f t="shared" si="8"/>
        <v>0</v>
      </c>
      <c r="P74" s="12">
        <f t="shared" si="7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8"/>
        <v>0</v>
      </c>
      <c r="P75" s="12">
        <f t="shared" si="7"/>
        <v>0</v>
      </c>
    </row>
    <row r="76" spans="1:16" s="1" customFormat="1" ht="96" x14ac:dyDescent="0.2">
      <c r="A76" s="14" t="s">
        <v>37</v>
      </c>
      <c r="B76" s="14" t="s">
        <v>82</v>
      </c>
      <c r="C76" s="10"/>
      <c r="D76" s="11">
        <v>2.702</v>
      </c>
      <c r="O76" s="1">
        <f t="shared" si="8"/>
        <v>0</v>
      </c>
      <c r="P76" s="12">
        <f t="shared" si="7"/>
        <v>0</v>
      </c>
    </row>
    <row r="77" spans="1:16" s="1" customFormat="1" ht="96" x14ac:dyDescent="0.2">
      <c r="A77" s="14" t="s">
        <v>38</v>
      </c>
      <c r="B77" s="14" t="s">
        <v>83</v>
      </c>
      <c r="C77" s="10"/>
      <c r="D77" s="11">
        <v>0.68599999999999994</v>
      </c>
      <c r="O77" s="1">
        <f t="shared" si="8"/>
        <v>0</v>
      </c>
      <c r="P77" s="12">
        <f t="shared" si="7"/>
        <v>0</v>
      </c>
    </row>
    <row r="78" spans="1:16" s="1" customFormat="1" ht="96" x14ac:dyDescent="0.2">
      <c r="A78" s="14" t="s">
        <v>39</v>
      </c>
      <c r="B78" s="14" t="s">
        <v>84</v>
      </c>
      <c r="C78" s="10"/>
      <c r="D78" s="11">
        <v>0.68599999999999994</v>
      </c>
      <c r="O78" s="1">
        <f t="shared" si="8"/>
        <v>0</v>
      </c>
      <c r="P78" s="12">
        <f t="shared" si="7"/>
        <v>0</v>
      </c>
    </row>
    <row r="79" spans="1:16" s="1" customFormat="1" ht="96" x14ac:dyDescent="0.2">
      <c r="A79" s="14" t="s">
        <v>40</v>
      </c>
      <c r="B79" s="14" t="s">
        <v>85</v>
      </c>
      <c r="C79" s="10"/>
      <c r="D79" s="11">
        <v>0.98</v>
      </c>
      <c r="O79" s="1">
        <f t="shared" si="8"/>
        <v>0</v>
      </c>
      <c r="P79" s="12">
        <f t="shared" si="7"/>
        <v>0</v>
      </c>
    </row>
    <row r="80" spans="1:16" s="1" customFormat="1" ht="96" x14ac:dyDescent="0.2">
      <c r="A80" s="14" t="s">
        <v>41</v>
      </c>
      <c r="B80" s="15" t="s">
        <v>254</v>
      </c>
      <c r="C80" s="16"/>
      <c r="D80" s="11">
        <v>0.98</v>
      </c>
      <c r="O80" s="1">
        <f t="shared" si="8"/>
        <v>0</v>
      </c>
      <c r="P80" s="12">
        <f t="shared" si="7"/>
        <v>0</v>
      </c>
    </row>
    <row r="81" spans="1:16" s="1" customFormat="1" ht="96" x14ac:dyDescent="0.2">
      <c r="A81" s="14" t="s">
        <v>136</v>
      </c>
      <c r="B81" s="14" t="s">
        <v>132</v>
      </c>
      <c r="C81" s="10"/>
      <c r="D81" s="11">
        <v>0.98</v>
      </c>
      <c r="O81" s="1">
        <f t="shared" si="8"/>
        <v>0</v>
      </c>
      <c r="P81" s="12">
        <f t="shared" si="7"/>
        <v>0</v>
      </c>
    </row>
    <row r="82" spans="1:16" s="1" customFormat="1" ht="96" x14ac:dyDescent="0.2">
      <c r="A82" s="14" t="s">
        <v>137</v>
      </c>
      <c r="B82" s="15" t="s">
        <v>255</v>
      </c>
      <c r="C82" s="16"/>
      <c r="D82" s="11">
        <v>0.98</v>
      </c>
      <c r="O82" s="1">
        <f t="shared" si="8"/>
        <v>0</v>
      </c>
      <c r="P82" s="12">
        <f t="shared" si="7"/>
        <v>0</v>
      </c>
    </row>
    <row r="83" spans="1:16" s="1" customFormat="1" ht="160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8"/>
        <v>0</v>
      </c>
      <c r="P83" s="12">
        <f t="shared" si="7"/>
        <v>0</v>
      </c>
    </row>
    <row r="84" spans="1:16" s="1" customFormat="1" ht="384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8"/>
        <v>0</v>
      </c>
      <c r="P84" s="12">
        <f t="shared" si="7"/>
        <v>0</v>
      </c>
    </row>
    <row r="85" spans="1:16" s="1" customFormat="1" ht="384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8"/>
        <v>0</v>
      </c>
      <c r="P85" s="12">
        <f t="shared" si="7"/>
        <v>0</v>
      </c>
    </row>
    <row r="86" spans="1:16" s="1" customFormat="1" ht="384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8"/>
        <v>0</v>
      </c>
      <c r="P86" s="12">
        <f t="shared" si="7"/>
        <v>0</v>
      </c>
    </row>
    <row r="87" spans="1:16" s="1" customFormat="1" ht="160" x14ac:dyDescent="0.2">
      <c r="A87" s="14" t="s">
        <v>180</v>
      </c>
      <c r="B87" s="10" t="s">
        <v>181</v>
      </c>
      <c r="C87" s="10"/>
      <c r="D87" s="11">
        <v>0.75</v>
      </c>
      <c r="O87" s="1">
        <f t="shared" si="8"/>
        <v>0</v>
      </c>
      <c r="P87" s="12">
        <f t="shared" si="7"/>
        <v>0</v>
      </c>
    </row>
    <row r="88" spans="1:16" s="1" customFormat="1" ht="160" x14ac:dyDescent="0.2">
      <c r="A88" s="14" t="s">
        <v>182</v>
      </c>
      <c r="B88" s="10" t="s">
        <v>183</v>
      </c>
      <c r="C88" s="10"/>
      <c r="D88" s="11">
        <v>0.75</v>
      </c>
      <c r="O88" s="1">
        <f t="shared" si="8"/>
        <v>0</v>
      </c>
      <c r="P88" s="12">
        <f t="shared" si="7"/>
        <v>0</v>
      </c>
    </row>
    <row r="89" spans="1:16" s="1" customFormat="1" ht="160" x14ac:dyDescent="0.2">
      <c r="A89" s="14" t="s">
        <v>184</v>
      </c>
      <c r="B89" s="10" t="s">
        <v>185</v>
      </c>
      <c r="C89" s="10"/>
      <c r="D89" s="11">
        <v>0.75</v>
      </c>
      <c r="O89" s="1">
        <f t="shared" si="8"/>
        <v>0</v>
      </c>
      <c r="P89" s="12">
        <f t="shared" si="7"/>
        <v>0</v>
      </c>
    </row>
    <row r="90" spans="1:16" s="1" customFormat="1" ht="160" x14ac:dyDescent="0.2">
      <c r="A90" s="14" t="s">
        <v>186</v>
      </c>
      <c r="B90" s="14" t="s">
        <v>256</v>
      </c>
      <c r="C90" s="10"/>
      <c r="D90" s="11">
        <v>0.75</v>
      </c>
      <c r="O90" s="1">
        <f t="shared" si="8"/>
        <v>0</v>
      </c>
      <c r="P90" s="12">
        <f t="shared" si="7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C364-7196-0248-B9D5-61E78F98F164}">
  <sheetPr>
    <tabColor theme="4"/>
  </sheetPr>
  <dimension ref="A1:R92"/>
  <sheetViews>
    <sheetView topLeftCell="E1" zoomScale="75" workbookViewId="0">
      <selection activeCell="J4" sqref="J4"/>
    </sheetView>
  </sheetViews>
  <sheetFormatPr baseColWidth="10" defaultRowHeight="16" x14ac:dyDescent="0.2"/>
  <cols>
    <col min="1" max="1" width="44.1640625" customWidth="1"/>
    <col min="2" max="2" width="45.5" customWidth="1"/>
    <col min="3" max="3" width="38.33203125" customWidth="1"/>
    <col min="4" max="4" width="45.33203125" customWidth="1"/>
    <col min="5" max="5" width="53.6640625" customWidth="1"/>
    <col min="6" max="6" width="56" customWidth="1"/>
    <col min="7" max="7" width="50.83203125" customWidth="1"/>
    <col min="8" max="8" width="45.33203125" customWidth="1"/>
    <col min="9" max="9" width="53.6640625" customWidth="1"/>
    <col min="10" max="10" width="53" customWidth="1"/>
    <col min="11" max="11" width="6" customWidth="1"/>
    <col min="12" max="12" width="5.1640625" customWidth="1"/>
    <col min="13" max="13" width="6.6640625" customWidth="1"/>
    <col min="14" max="14" width="7.83203125" customWidth="1"/>
    <col min="15" max="15" width="21.6640625" customWidth="1"/>
    <col min="16" max="16" width="32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242</v>
      </c>
      <c r="F1" s="4" t="s">
        <v>262</v>
      </c>
      <c r="G1" s="4" t="s">
        <v>243</v>
      </c>
      <c r="H1" s="4" t="s">
        <v>244</v>
      </c>
      <c r="I1" s="4" t="s">
        <v>263</v>
      </c>
      <c r="J1" s="4" t="s">
        <v>245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G4" s="1">
        <f>4*G3</f>
        <v>0</v>
      </c>
      <c r="J4" s="1">
        <f>4*J3</f>
        <v>0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2*G3</f>
        <v>0</v>
      </c>
      <c r="J5" s="1">
        <f>2*J3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E6" s="1">
        <f>4*E3</f>
        <v>0</v>
      </c>
      <c r="F6" s="1">
        <f>4*F3</f>
        <v>0</v>
      </c>
      <c r="H6" s="1">
        <f t="shared" ref="H6:I6" si="2">4*H3</f>
        <v>0</v>
      </c>
      <c r="I6" s="1">
        <f t="shared" si="2"/>
        <v>0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2*E3</f>
        <v>0</v>
      </c>
      <c r="F7" s="1">
        <f t="shared" ref="F7:I7" si="3">2*F3</f>
        <v>0</v>
      </c>
      <c r="H7" s="1">
        <f t="shared" si="3"/>
        <v>0</v>
      </c>
      <c r="I7" s="1">
        <f t="shared" si="3"/>
        <v>0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128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7*J3</f>
        <v>0</v>
      </c>
      <c r="O10" s="1">
        <f t="shared" si="1"/>
        <v>0</v>
      </c>
      <c r="P10" s="12">
        <f t="shared" si="0"/>
        <v>0</v>
      </c>
    </row>
    <row r="11" spans="1:18" s="1" customFormat="1" ht="128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7*H3</f>
        <v>0</v>
      </c>
      <c r="I11" s="1">
        <f>7*I3</f>
        <v>0</v>
      </c>
      <c r="O11" s="1">
        <f t="shared" si="1"/>
        <v>0</v>
      </c>
      <c r="P11" s="12">
        <f t="shared" si="0"/>
        <v>0</v>
      </c>
    </row>
    <row r="12" spans="1:18" s="1" customFormat="1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128" x14ac:dyDescent="0.2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128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128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128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7*G3</f>
        <v>0</v>
      </c>
      <c r="O18" s="1">
        <f t="shared" si="1"/>
        <v>0</v>
      </c>
      <c r="P18" s="12">
        <f t="shared" si="0"/>
        <v>0</v>
      </c>
    </row>
    <row r="19" spans="1:16" s="1" customFormat="1" ht="128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128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7*E3</f>
        <v>0</v>
      </c>
      <c r="F20" s="1">
        <f>7*F3</f>
        <v>0</v>
      </c>
      <c r="O20" s="1">
        <f t="shared" si="1"/>
        <v>0</v>
      </c>
      <c r="P20" s="12">
        <f t="shared" si="0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128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128" x14ac:dyDescent="0.2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128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4">D36*O36</f>
        <v>0</v>
      </c>
    </row>
    <row r="37" spans="1:16" s="1" customFormat="1" ht="96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4"/>
        <v>0</v>
      </c>
    </row>
    <row r="38" spans="1:16" s="1" customFormat="1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4"/>
        <v>0</v>
      </c>
    </row>
    <row r="39" spans="1:16" s="1" customFormat="1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4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4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4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4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4"/>
        <v>0</v>
      </c>
    </row>
    <row r="44" spans="1:16" s="1" customFormat="1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12*H3</f>
        <v>0</v>
      </c>
      <c r="I44" s="1">
        <f>12*I3</f>
        <v>0</v>
      </c>
      <c r="J44" s="1">
        <f>12*J3</f>
        <v>0</v>
      </c>
      <c r="O44" s="1">
        <f t="shared" si="1"/>
        <v>0</v>
      </c>
      <c r="P44" s="12">
        <f t="shared" si="4"/>
        <v>0</v>
      </c>
    </row>
    <row r="45" spans="1:16" s="1" customFormat="1" ht="96" x14ac:dyDescent="0.2">
      <c r="A45" s="9" t="s">
        <v>13</v>
      </c>
      <c r="B45" s="9" t="s">
        <v>60</v>
      </c>
      <c r="C45" s="10"/>
      <c r="D45" s="11">
        <v>0.73</v>
      </c>
      <c r="E45" s="1">
        <f>12*E3</f>
        <v>0</v>
      </c>
      <c r="F45" s="1">
        <f>12*F3</f>
        <v>0</v>
      </c>
      <c r="G45" s="1">
        <f>12*G3</f>
        <v>0</v>
      </c>
      <c r="O45" s="1">
        <f t="shared" si="1"/>
        <v>0</v>
      </c>
      <c r="P45" s="12">
        <f t="shared" si="4"/>
        <v>0</v>
      </c>
    </row>
    <row r="46" spans="1:16" s="1" customFormat="1" ht="96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4"/>
        <v>0</v>
      </c>
    </row>
    <row r="47" spans="1:16" s="1" customFormat="1" ht="96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4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4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4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4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4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O52" s="1">
        <f t="shared" si="1"/>
        <v>0</v>
      </c>
      <c r="P52" s="12">
        <f t="shared" si="4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E53" s="1">
        <f>2*E3</f>
        <v>0</v>
      </c>
      <c r="F53" s="1">
        <f>1*F3</f>
        <v>0</v>
      </c>
      <c r="G53" s="1">
        <f>2*G3</f>
        <v>0</v>
      </c>
      <c r="H53" s="1">
        <f>2*H3</f>
        <v>0</v>
      </c>
      <c r="I53" s="1">
        <f>1*I3</f>
        <v>0</v>
      </c>
      <c r="J53" s="1">
        <f>2*J3</f>
        <v>0</v>
      </c>
      <c r="O53" s="1">
        <f t="shared" si="1"/>
        <v>0</v>
      </c>
      <c r="P53" s="12">
        <f t="shared" si="4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2*H3</f>
        <v>0</v>
      </c>
      <c r="I54" s="1">
        <f>1*I3</f>
        <v>0</v>
      </c>
      <c r="J54" s="1">
        <f>2*J3</f>
        <v>0</v>
      </c>
      <c r="O54" s="1">
        <f t="shared" si="1"/>
        <v>0</v>
      </c>
      <c r="P54" s="12">
        <f t="shared" si="4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2*E3</f>
        <v>0</v>
      </c>
      <c r="F55" s="1">
        <f>1*F3</f>
        <v>0</v>
      </c>
      <c r="G55" s="1">
        <f>2*G3</f>
        <v>0</v>
      </c>
      <c r="O55" s="1">
        <f t="shared" si="1"/>
        <v>0</v>
      </c>
      <c r="P55" s="12">
        <f t="shared" si="4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4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>2*E3</f>
        <v>0</v>
      </c>
      <c r="F57" s="1">
        <f>1*F3</f>
        <v>0</v>
      </c>
      <c r="G57" s="1">
        <f>2*G3</f>
        <v>0</v>
      </c>
      <c r="H57" s="1">
        <f>2*H3</f>
        <v>0</v>
      </c>
      <c r="I57" s="1">
        <f>1*I3</f>
        <v>0</v>
      </c>
      <c r="J57" s="1">
        <f>2*J3</f>
        <v>0</v>
      </c>
      <c r="O57" s="1">
        <f t="shared" si="1"/>
        <v>0</v>
      </c>
      <c r="P57" s="12">
        <f t="shared" si="4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>2*E3</f>
        <v>0</v>
      </c>
      <c r="F58" s="1">
        <f>1*F3</f>
        <v>0</v>
      </c>
      <c r="G58" s="1">
        <f>2*G3</f>
        <v>0</v>
      </c>
      <c r="H58" s="1">
        <f>2*H3</f>
        <v>0</v>
      </c>
      <c r="I58" s="1">
        <f>1*I3</f>
        <v>0</v>
      </c>
      <c r="J58" s="1">
        <f>2*J3</f>
        <v>0</v>
      </c>
      <c r="O58" s="1">
        <f t="shared" si="1"/>
        <v>0</v>
      </c>
      <c r="P58" s="12">
        <f t="shared" si="4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2*E3</f>
        <v>0</v>
      </c>
      <c r="F59" s="1">
        <f>1*F3</f>
        <v>0</v>
      </c>
      <c r="G59" s="1">
        <f>2*G3</f>
        <v>0</v>
      </c>
      <c r="H59" s="1">
        <f>2*H3</f>
        <v>0</v>
      </c>
      <c r="I59" s="1">
        <f>1*I3</f>
        <v>0</v>
      </c>
      <c r="J59" s="1">
        <f>2*J3</f>
        <v>0</v>
      </c>
      <c r="O59" s="1">
        <f t="shared" si="1"/>
        <v>0</v>
      </c>
      <c r="P59" s="12">
        <f t="shared" si="4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>2*E3</f>
        <v>0</v>
      </c>
      <c r="F60" s="1">
        <f>1*F3</f>
        <v>0</v>
      </c>
      <c r="G60" s="1">
        <f>2*G3</f>
        <v>0</v>
      </c>
      <c r="H60" s="1">
        <f>2*H3</f>
        <v>0</v>
      </c>
      <c r="I60" s="1">
        <f>1*I3</f>
        <v>0</v>
      </c>
      <c r="J60" s="1">
        <f>2*J3</f>
        <v>0</v>
      </c>
      <c r="O60" s="1">
        <f t="shared" si="1"/>
        <v>0</v>
      </c>
      <c r="P60" s="12">
        <f t="shared" si="4"/>
        <v>0</v>
      </c>
    </row>
    <row r="61" spans="1:16" s="1" customFormat="1" ht="96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4"/>
        <v>0</v>
      </c>
    </row>
    <row r="62" spans="1:16" s="1" customFormat="1" ht="224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4"/>
        <v>0</v>
      </c>
    </row>
    <row r="63" spans="1:16" s="1" customFormat="1" ht="224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4"/>
        <v>0</v>
      </c>
    </row>
    <row r="64" spans="1:16" s="1" customFormat="1" ht="96" x14ac:dyDescent="0.2">
      <c r="A64" s="14" t="s">
        <v>29</v>
      </c>
      <c r="B64" s="14" t="s">
        <v>75</v>
      </c>
      <c r="C64" s="10"/>
      <c r="D64" s="11">
        <v>1.1399999999999999</v>
      </c>
      <c r="E64" s="1">
        <f>2*E3</f>
        <v>0</v>
      </c>
      <c r="F64" s="1">
        <f>1*F3</f>
        <v>0</v>
      </c>
      <c r="G64" s="1">
        <f>2*G3</f>
        <v>0</v>
      </c>
      <c r="H64" s="1">
        <f>2*H3</f>
        <v>0</v>
      </c>
      <c r="I64" s="1">
        <f>1*I3</f>
        <v>0</v>
      </c>
      <c r="J64" s="1">
        <f>2*J3</f>
        <v>0</v>
      </c>
      <c r="O64" s="1">
        <f t="shared" si="1"/>
        <v>0</v>
      </c>
      <c r="P64" s="12">
        <f t="shared" si="4"/>
        <v>0</v>
      </c>
    </row>
    <row r="65" spans="1:16" s="1" customFormat="1" ht="64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4"/>
        <v>0</v>
      </c>
    </row>
    <row r="66" spans="1:16" s="1" customFormat="1" ht="64" x14ac:dyDescent="0.2">
      <c r="A66" s="14" t="s">
        <v>31</v>
      </c>
      <c r="B66" s="14" t="s">
        <v>260</v>
      </c>
      <c r="C66" s="10"/>
      <c r="D66" s="11">
        <v>2.15</v>
      </c>
      <c r="O66" s="1">
        <f t="shared" si="1"/>
        <v>0</v>
      </c>
      <c r="P66" s="12">
        <f t="shared" si="4"/>
        <v>0</v>
      </c>
    </row>
    <row r="67" spans="1:16" s="1" customFormat="1" ht="96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4"/>
        <v>0</v>
      </c>
    </row>
    <row r="68" spans="1:16" s="1" customFormat="1" ht="96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5">D68*O68</f>
        <v>0</v>
      </c>
    </row>
    <row r="69" spans="1:16" s="1" customFormat="1" ht="96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0" si="6">SUM(E69:J69)</f>
        <v>0</v>
      </c>
      <c r="P69" s="12">
        <f t="shared" si="5"/>
        <v>0</v>
      </c>
    </row>
    <row r="70" spans="1:16" s="1" customFormat="1" ht="96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6"/>
        <v>0</v>
      </c>
      <c r="P70" s="12">
        <f t="shared" si="5"/>
        <v>0</v>
      </c>
    </row>
    <row r="71" spans="1:16" s="1" customFormat="1" ht="96" x14ac:dyDescent="0.2">
      <c r="A71" s="14" t="s">
        <v>178</v>
      </c>
      <c r="B71" s="14" t="s">
        <v>194</v>
      </c>
      <c r="C71" s="10"/>
      <c r="D71" s="11">
        <v>5.5579999999999998</v>
      </c>
      <c r="O71" s="1">
        <f t="shared" si="6"/>
        <v>0</v>
      </c>
      <c r="P71" s="12">
        <f t="shared" si="5"/>
        <v>0</v>
      </c>
    </row>
    <row r="72" spans="1:16" s="1" customFormat="1" ht="96" x14ac:dyDescent="0.2">
      <c r="A72" s="14" t="s">
        <v>179</v>
      </c>
      <c r="B72" s="14" t="s">
        <v>195</v>
      </c>
      <c r="C72" s="10"/>
      <c r="D72" s="11">
        <v>5.5579999999999998</v>
      </c>
      <c r="O72" s="1">
        <f t="shared" si="6"/>
        <v>0</v>
      </c>
      <c r="P72" s="12">
        <f t="shared" si="5"/>
        <v>0</v>
      </c>
    </row>
    <row r="73" spans="1:16" s="1" customFormat="1" ht="96" x14ac:dyDescent="0.2">
      <c r="A73" s="14" t="s">
        <v>34</v>
      </c>
      <c r="B73" s="14" t="s">
        <v>79</v>
      </c>
      <c r="C73" s="10"/>
      <c r="D73" s="11">
        <v>3.3879999999999999</v>
      </c>
      <c r="E73" s="1">
        <f>1*E3</f>
        <v>0</v>
      </c>
      <c r="G73" s="1">
        <f>1*G3</f>
        <v>0</v>
      </c>
      <c r="H73" s="1">
        <f>1*H3</f>
        <v>0</v>
      </c>
      <c r="J73" s="1">
        <f>1*J3</f>
        <v>0</v>
      </c>
      <c r="O73" s="1">
        <f t="shared" si="6"/>
        <v>0</v>
      </c>
      <c r="P73" s="12">
        <f t="shared" si="5"/>
        <v>0</v>
      </c>
    </row>
    <row r="74" spans="1:16" s="1" customFormat="1" ht="96" x14ac:dyDescent="0.2">
      <c r="A74" s="14" t="s">
        <v>35</v>
      </c>
      <c r="B74" s="14" t="s">
        <v>80</v>
      </c>
      <c r="C74" s="10"/>
      <c r="D74" s="11">
        <v>3.3879999999999999</v>
      </c>
      <c r="E74" s="1">
        <f>1*E3</f>
        <v>0</v>
      </c>
      <c r="G74" s="1">
        <f>1*G3</f>
        <v>0</v>
      </c>
      <c r="H74" s="1">
        <f>1*H3</f>
        <v>0</v>
      </c>
      <c r="J74" s="1">
        <f>1*J3</f>
        <v>0</v>
      </c>
      <c r="O74" s="1">
        <f t="shared" si="6"/>
        <v>0</v>
      </c>
      <c r="P74" s="12">
        <f t="shared" si="5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6"/>
        <v>0</v>
      </c>
      <c r="P75" s="12">
        <f t="shared" si="5"/>
        <v>0</v>
      </c>
    </row>
    <row r="76" spans="1:16" s="1" customFormat="1" ht="96" x14ac:dyDescent="0.2">
      <c r="A76" s="14" t="s">
        <v>37</v>
      </c>
      <c r="B76" s="14" t="s">
        <v>82</v>
      </c>
      <c r="C76" s="10"/>
      <c r="D76" s="11">
        <v>2.702</v>
      </c>
      <c r="O76" s="1">
        <f t="shared" si="6"/>
        <v>0</v>
      </c>
      <c r="P76" s="12">
        <f t="shared" si="5"/>
        <v>0</v>
      </c>
    </row>
    <row r="77" spans="1:16" s="1" customFormat="1" ht="96" x14ac:dyDescent="0.2">
      <c r="A77" s="14" t="s">
        <v>38</v>
      </c>
      <c r="B77" s="14" t="s">
        <v>83</v>
      </c>
      <c r="C77" s="10"/>
      <c r="D77" s="11">
        <v>0.68599999999999994</v>
      </c>
      <c r="H77" s="1">
        <f>1*H3</f>
        <v>0</v>
      </c>
      <c r="J77" s="1">
        <f>1*J3</f>
        <v>0</v>
      </c>
      <c r="O77" s="1">
        <f t="shared" si="6"/>
        <v>0</v>
      </c>
      <c r="P77" s="12">
        <f t="shared" si="5"/>
        <v>0</v>
      </c>
    </row>
    <row r="78" spans="1:16" s="1" customFormat="1" ht="96" x14ac:dyDescent="0.2">
      <c r="A78" s="14" t="s">
        <v>39</v>
      </c>
      <c r="B78" s="14" t="s">
        <v>84</v>
      </c>
      <c r="C78" s="10"/>
      <c r="D78" s="11">
        <v>0.68599999999999994</v>
      </c>
      <c r="H78" s="1">
        <f>1*H3</f>
        <v>0</v>
      </c>
      <c r="J78" s="1">
        <f>1*J3</f>
        <v>0</v>
      </c>
      <c r="O78" s="1">
        <f t="shared" si="6"/>
        <v>0</v>
      </c>
      <c r="P78" s="12">
        <f t="shared" si="5"/>
        <v>0</v>
      </c>
    </row>
    <row r="79" spans="1:16" s="1" customFormat="1" ht="96" x14ac:dyDescent="0.2">
      <c r="A79" s="14" t="s">
        <v>40</v>
      </c>
      <c r="B79" s="14" t="s">
        <v>85</v>
      </c>
      <c r="C79" s="10"/>
      <c r="D79" s="11">
        <v>0.98</v>
      </c>
      <c r="E79" s="1">
        <f>1*E3</f>
        <v>0</v>
      </c>
      <c r="G79" s="1">
        <f>1*G3</f>
        <v>0</v>
      </c>
      <c r="O79" s="1">
        <f t="shared" si="6"/>
        <v>0</v>
      </c>
      <c r="P79" s="12">
        <f t="shared" si="5"/>
        <v>0</v>
      </c>
    </row>
    <row r="80" spans="1:16" s="1" customFormat="1" ht="96" x14ac:dyDescent="0.2">
      <c r="A80" s="14" t="s">
        <v>41</v>
      </c>
      <c r="B80" s="15" t="s">
        <v>254</v>
      </c>
      <c r="C80" s="16"/>
      <c r="D80" s="11">
        <v>0.98</v>
      </c>
      <c r="E80" s="1">
        <f>1*E3</f>
        <v>0</v>
      </c>
      <c r="G80" s="1">
        <f>1*G3</f>
        <v>0</v>
      </c>
      <c r="O80" s="1">
        <f t="shared" si="6"/>
        <v>0</v>
      </c>
      <c r="P80" s="12">
        <f t="shared" si="5"/>
        <v>0</v>
      </c>
    </row>
    <row r="81" spans="1:16" s="1" customFormat="1" ht="96" x14ac:dyDescent="0.2">
      <c r="A81" s="14" t="s">
        <v>136</v>
      </c>
      <c r="B81" s="14" t="s">
        <v>132</v>
      </c>
      <c r="C81" s="10"/>
      <c r="D81" s="11">
        <v>0.98</v>
      </c>
      <c r="O81" s="1">
        <f t="shared" si="6"/>
        <v>0</v>
      </c>
      <c r="P81" s="12">
        <f t="shared" si="5"/>
        <v>0</v>
      </c>
    </row>
    <row r="82" spans="1:16" s="1" customFormat="1" ht="96" x14ac:dyDescent="0.2">
      <c r="A82" s="14" t="s">
        <v>137</v>
      </c>
      <c r="B82" s="15" t="s">
        <v>255</v>
      </c>
      <c r="C82" s="16"/>
      <c r="D82" s="11">
        <v>0.98</v>
      </c>
      <c r="O82" s="1">
        <f t="shared" si="6"/>
        <v>0</v>
      </c>
      <c r="P82" s="12">
        <f t="shared" si="5"/>
        <v>0</v>
      </c>
    </row>
    <row r="83" spans="1:16" s="1" customFormat="1" ht="160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6"/>
        <v>0</v>
      </c>
      <c r="P83" s="12">
        <f t="shared" si="5"/>
        <v>0</v>
      </c>
    </row>
    <row r="84" spans="1:16" s="1" customFormat="1" ht="384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6"/>
        <v>0</v>
      </c>
      <c r="P84" s="12">
        <f t="shared" si="5"/>
        <v>0</v>
      </c>
    </row>
    <row r="85" spans="1:16" s="1" customFormat="1" ht="384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6"/>
        <v>0</v>
      </c>
      <c r="P85" s="12">
        <f t="shared" si="5"/>
        <v>0</v>
      </c>
    </row>
    <row r="86" spans="1:16" s="1" customFormat="1" ht="384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6"/>
        <v>0</v>
      </c>
      <c r="P86" s="12">
        <f t="shared" si="5"/>
        <v>0</v>
      </c>
    </row>
    <row r="87" spans="1:16" s="1" customFormat="1" ht="160" x14ac:dyDescent="0.2">
      <c r="A87" s="14" t="s">
        <v>180</v>
      </c>
      <c r="B87" s="10" t="s">
        <v>181</v>
      </c>
      <c r="C87" s="10"/>
      <c r="D87" s="11">
        <v>0.75</v>
      </c>
      <c r="O87" s="1">
        <f t="shared" si="6"/>
        <v>0</v>
      </c>
      <c r="P87" s="12">
        <f t="shared" si="5"/>
        <v>0</v>
      </c>
    </row>
    <row r="88" spans="1:16" s="1" customFormat="1" ht="160" x14ac:dyDescent="0.2">
      <c r="A88" s="14" t="s">
        <v>182</v>
      </c>
      <c r="B88" s="10" t="s">
        <v>183</v>
      </c>
      <c r="C88" s="10"/>
      <c r="D88" s="11">
        <v>0.75</v>
      </c>
      <c r="O88" s="1">
        <f t="shared" si="6"/>
        <v>0</v>
      </c>
      <c r="P88" s="12">
        <f t="shared" si="5"/>
        <v>0</v>
      </c>
    </row>
    <row r="89" spans="1:16" s="1" customFormat="1" ht="160" x14ac:dyDescent="0.2">
      <c r="A89" s="14" t="s">
        <v>184</v>
      </c>
      <c r="B89" s="10" t="s">
        <v>185</v>
      </c>
      <c r="C89" s="10"/>
      <c r="D89" s="11">
        <v>0.75</v>
      </c>
      <c r="O89" s="1">
        <f t="shared" si="6"/>
        <v>0</v>
      </c>
      <c r="P89" s="12">
        <f t="shared" si="5"/>
        <v>0</v>
      </c>
    </row>
    <row r="90" spans="1:16" s="1" customFormat="1" ht="160" x14ac:dyDescent="0.2">
      <c r="A90" s="14" t="s">
        <v>186</v>
      </c>
      <c r="B90" s="14" t="s">
        <v>261</v>
      </c>
      <c r="C90" s="10"/>
      <c r="D90" s="11">
        <v>0.75</v>
      </c>
      <c r="O90" s="1">
        <f t="shared" si="6"/>
        <v>0</v>
      </c>
      <c r="P90" s="12">
        <f t="shared" si="5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1AB6-25AE-F345-A7D7-6537EF077727}">
  <sheetPr>
    <tabColor theme="8"/>
  </sheetPr>
  <dimension ref="A1:R92"/>
  <sheetViews>
    <sheetView zoomScale="50" zoomScaleNormal="50" workbookViewId="0">
      <selection activeCell="K3" sqref="K3"/>
    </sheetView>
  </sheetViews>
  <sheetFormatPr baseColWidth="10" defaultRowHeight="16" x14ac:dyDescent="0.2"/>
  <cols>
    <col min="1" max="1" width="58.83203125" customWidth="1"/>
    <col min="2" max="2" width="39.1640625" customWidth="1"/>
    <col min="3" max="3" width="46.83203125" customWidth="1"/>
    <col min="4" max="4" width="45.33203125" customWidth="1"/>
    <col min="5" max="5" width="39.83203125" customWidth="1"/>
    <col min="6" max="6" width="44.83203125" customWidth="1"/>
    <col min="7" max="7" width="46.83203125" customWidth="1"/>
    <col min="8" max="8" width="44.33203125" customWidth="1"/>
    <col min="9" max="9" width="47.1640625" customWidth="1"/>
    <col min="10" max="10" width="45.1640625" customWidth="1"/>
    <col min="11" max="11" width="4.1640625" customWidth="1"/>
    <col min="12" max="12" width="4.6640625" customWidth="1"/>
    <col min="13" max="13" width="5" customWidth="1"/>
    <col min="14" max="14" width="5.6640625" customWidth="1"/>
    <col min="15" max="15" width="23.5" customWidth="1"/>
    <col min="16" max="16" width="27.664062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246</v>
      </c>
      <c r="F1" s="4" t="s">
        <v>264</v>
      </c>
      <c r="G1" s="4" t="s">
        <v>247</v>
      </c>
      <c r="H1" s="4" t="s">
        <v>248</v>
      </c>
      <c r="I1" s="4" t="s">
        <v>265</v>
      </c>
      <c r="J1" s="4" t="s">
        <v>249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6*G3</f>
        <v>0</v>
      </c>
      <c r="J5" s="1">
        <f>6*J3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6*E3</f>
        <v>0</v>
      </c>
      <c r="F7" s="1">
        <f>6*F3</f>
        <v>0</v>
      </c>
      <c r="H7" s="1">
        <f>6*H3</f>
        <v>0</v>
      </c>
      <c r="I7" s="1">
        <f>6*I3</f>
        <v>0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8*J3</f>
        <v>0</v>
      </c>
      <c r="O10" s="1">
        <f t="shared" si="1"/>
        <v>0</v>
      </c>
      <c r="P10" s="12">
        <f t="shared" si="0"/>
        <v>0</v>
      </c>
    </row>
    <row r="11" spans="1:18" s="1" customFormat="1" ht="128" customHeight="1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8*H3</f>
        <v>0</v>
      </c>
      <c r="I11" s="1">
        <f>8*I3</f>
        <v>0</v>
      </c>
      <c r="O11" s="1">
        <f t="shared" si="1"/>
        <v>0</v>
      </c>
      <c r="P11" s="12">
        <f t="shared" si="0"/>
        <v>0</v>
      </c>
    </row>
    <row r="12" spans="1:18" s="1" customFormat="1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128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128" x14ac:dyDescent="0.35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8*G3</f>
        <v>0</v>
      </c>
      <c r="O18" s="1">
        <f t="shared" si="1"/>
        <v>0</v>
      </c>
      <c r="P18" s="12">
        <f t="shared" si="0"/>
        <v>0</v>
      </c>
    </row>
    <row r="19" spans="1:16" s="1" customFormat="1" ht="96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8*E3</f>
        <v>0</v>
      </c>
      <c r="F20" s="1">
        <f>8*F3</f>
        <v>0</v>
      </c>
      <c r="O20" s="1">
        <f t="shared" si="1"/>
        <v>0</v>
      </c>
      <c r="P20" s="12">
        <f t="shared" si="0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128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128" x14ac:dyDescent="0.2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128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2">D36*O36</f>
        <v>0</v>
      </c>
    </row>
    <row r="37" spans="1:16" s="1" customFormat="1" ht="96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2"/>
        <v>0</v>
      </c>
    </row>
    <row r="38" spans="1:16" s="1" customFormat="1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2"/>
        <v>0</v>
      </c>
    </row>
    <row r="39" spans="1:16" s="1" customFormat="1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2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2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2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2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2"/>
        <v>0</v>
      </c>
    </row>
    <row r="44" spans="1:16" s="1" customFormat="1" ht="85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14*H3</f>
        <v>0</v>
      </c>
      <c r="I44" s="1">
        <f>14*I3</f>
        <v>0</v>
      </c>
      <c r="J44" s="1">
        <f>14*J3</f>
        <v>0</v>
      </c>
      <c r="O44" s="1">
        <f t="shared" si="1"/>
        <v>0</v>
      </c>
      <c r="P44" s="12">
        <f t="shared" si="2"/>
        <v>0</v>
      </c>
    </row>
    <row r="45" spans="1:16" s="1" customFormat="1" ht="85" customHeight="1" x14ac:dyDescent="0.2">
      <c r="A45" s="9" t="s">
        <v>13</v>
      </c>
      <c r="B45" s="9" t="s">
        <v>60</v>
      </c>
      <c r="C45" s="10"/>
      <c r="D45" s="11">
        <v>0.73</v>
      </c>
      <c r="E45" s="1">
        <f>14*E3</f>
        <v>0</v>
      </c>
      <c r="F45" s="1">
        <f>14*F3</f>
        <v>0</v>
      </c>
      <c r="G45" s="1">
        <f>14*G3</f>
        <v>0</v>
      </c>
      <c r="O45" s="1">
        <f t="shared" si="1"/>
        <v>0</v>
      </c>
      <c r="P45" s="12">
        <f t="shared" si="2"/>
        <v>0</v>
      </c>
    </row>
    <row r="46" spans="1:16" s="1" customFormat="1" ht="89" customHeight="1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2"/>
        <v>0</v>
      </c>
    </row>
    <row r="47" spans="1:16" s="1" customFormat="1" ht="95" customHeight="1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2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2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2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2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2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E52" s="1">
        <f>2*E3</f>
        <v>0</v>
      </c>
      <c r="F52" s="1">
        <f>1*F3</f>
        <v>0</v>
      </c>
      <c r="G52" s="1">
        <f>2*G3</f>
        <v>0</v>
      </c>
      <c r="H52" s="1">
        <f>2*H3</f>
        <v>0</v>
      </c>
      <c r="I52" s="1">
        <f>1*I3</f>
        <v>0</v>
      </c>
      <c r="J52" s="1">
        <f>2*J3</f>
        <v>0</v>
      </c>
      <c r="O52" s="1">
        <f t="shared" si="1"/>
        <v>0</v>
      </c>
      <c r="P52" s="12">
        <f t="shared" si="2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O53" s="1">
        <f t="shared" si="1"/>
        <v>0</v>
      </c>
      <c r="P53" s="12">
        <f t="shared" si="2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2*H3</f>
        <v>0</v>
      </c>
      <c r="I54" s="1">
        <f>1*I3</f>
        <v>0</v>
      </c>
      <c r="J54" s="1">
        <f>2*J3</f>
        <v>0</v>
      </c>
      <c r="O54" s="1">
        <f t="shared" si="1"/>
        <v>0</v>
      </c>
      <c r="P54" s="12">
        <f t="shared" si="2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2*E3</f>
        <v>0</v>
      </c>
      <c r="F55" s="1">
        <f>1*F3</f>
        <v>0</v>
      </c>
      <c r="G55" s="1">
        <f>2*G3</f>
        <v>0</v>
      </c>
      <c r="O55" s="1">
        <f t="shared" si="1"/>
        <v>0</v>
      </c>
      <c r="P55" s="12">
        <f t="shared" si="2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2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>2*E3</f>
        <v>0</v>
      </c>
      <c r="F57" s="1">
        <f>1*F3</f>
        <v>0</v>
      </c>
      <c r="G57" s="1">
        <f>2*G3</f>
        <v>0</v>
      </c>
      <c r="H57" s="1">
        <f>2*H3</f>
        <v>0</v>
      </c>
      <c r="I57" s="1">
        <f>1*I3</f>
        <v>0</v>
      </c>
      <c r="J57" s="1">
        <f>2*J3</f>
        <v>0</v>
      </c>
      <c r="O57" s="1">
        <f t="shared" si="1"/>
        <v>0</v>
      </c>
      <c r="P57" s="12">
        <f t="shared" si="2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>2*E3</f>
        <v>0</v>
      </c>
      <c r="F58" s="1">
        <f>1*F3</f>
        <v>0</v>
      </c>
      <c r="G58" s="1">
        <f>2*G3</f>
        <v>0</v>
      </c>
      <c r="H58" s="1">
        <f>2*H3</f>
        <v>0</v>
      </c>
      <c r="I58" s="1">
        <f>1*I3</f>
        <v>0</v>
      </c>
      <c r="J58" s="1">
        <f>2*J3</f>
        <v>0</v>
      </c>
      <c r="O58" s="1">
        <f t="shared" si="1"/>
        <v>0</v>
      </c>
      <c r="P58" s="12">
        <f t="shared" si="2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2*E3</f>
        <v>0</v>
      </c>
      <c r="F59" s="1">
        <f>1*F3</f>
        <v>0</v>
      </c>
      <c r="G59" s="1">
        <f>2*G3</f>
        <v>0</v>
      </c>
      <c r="H59" s="1">
        <f>2*H3</f>
        <v>0</v>
      </c>
      <c r="I59" s="1">
        <f>1*I3</f>
        <v>0</v>
      </c>
      <c r="J59" s="1">
        <f>2*J3</f>
        <v>0</v>
      </c>
      <c r="O59" s="1">
        <f t="shared" si="1"/>
        <v>0</v>
      </c>
      <c r="P59" s="12">
        <f t="shared" si="2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>2*E3</f>
        <v>0</v>
      </c>
      <c r="F60" s="1">
        <f>1*F3</f>
        <v>0</v>
      </c>
      <c r="G60" s="1">
        <f>2*G3</f>
        <v>0</v>
      </c>
      <c r="H60" s="1">
        <f>2*H3</f>
        <v>0</v>
      </c>
      <c r="I60" s="1">
        <f>1*I3</f>
        <v>0</v>
      </c>
      <c r="J60" s="1">
        <f>2*J3</f>
        <v>0</v>
      </c>
      <c r="O60" s="1">
        <f t="shared" si="1"/>
        <v>0</v>
      </c>
      <c r="P60" s="12">
        <f t="shared" si="2"/>
        <v>0</v>
      </c>
    </row>
    <row r="61" spans="1:16" s="1" customFormat="1" ht="64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2"/>
        <v>0</v>
      </c>
    </row>
    <row r="62" spans="1:16" s="1" customFormat="1" ht="192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2"/>
        <v>0</v>
      </c>
    </row>
    <row r="63" spans="1:16" s="1" customFormat="1" ht="181" customHeight="1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2"/>
        <v>0</v>
      </c>
    </row>
    <row r="64" spans="1:16" s="1" customFormat="1" ht="79" customHeight="1" x14ac:dyDescent="0.2">
      <c r="A64" s="14" t="s">
        <v>29</v>
      </c>
      <c r="B64" s="14" t="s">
        <v>75</v>
      </c>
      <c r="C64" s="10"/>
      <c r="D64" s="11">
        <v>1.1399999999999999</v>
      </c>
      <c r="E64" s="1">
        <f>2*E3</f>
        <v>0</v>
      </c>
      <c r="F64" s="1">
        <f>1*F3</f>
        <v>0</v>
      </c>
      <c r="G64" s="1">
        <f>2*G3</f>
        <v>0</v>
      </c>
      <c r="H64" s="1">
        <f>2*H3</f>
        <v>0</v>
      </c>
      <c r="I64" s="1">
        <f>1*I3</f>
        <v>0</v>
      </c>
      <c r="J64" s="1">
        <f>2*J3</f>
        <v>0</v>
      </c>
      <c r="O64" s="1">
        <f t="shared" si="1"/>
        <v>0</v>
      </c>
      <c r="P64" s="12">
        <f t="shared" si="2"/>
        <v>0</v>
      </c>
    </row>
    <row r="65" spans="1:16" s="1" customFormat="1" ht="62" customHeight="1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2"/>
        <v>0</v>
      </c>
    </row>
    <row r="66" spans="1:16" s="1" customFormat="1" ht="64" x14ac:dyDescent="0.2">
      <c r="A66" s="14" t="s">
        <v>31</v>
      </c>
      <c r="B66" s="14" t="s">
        <v>259</v>
      </c>
      <c r="C66" s="10"/>
      <c r="D66" s="11">
        <v>2.15</v>
      </c>
      <c r="O66" s="1">
        <f t="shared" si="1"/>
        <v>0</v>
      </c>
      <c r="P66" s="12">
        <f t="shared" si="2"/>
        <v>0</v>
      </c>
    </row>
    <row r="67" spans="1:16" s="1" customFormat="1" ht="64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2"/>
        <v>0</v>
      </c>
    </row>
    <row r="68" spans="1:16" s="1" customFormat="1" ht="64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3">D68*O68</f>
        <v>0</v>
      </c>
    </row>
    <row r="69" spans="1:16" s="1" customFormat="1" ht="98" customHeight="1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0" si="4">SUM(E69:J69)</f>
        <v>0</v>
      </c>
      <c r="P69" s="12">
        <f t="shared" si="3"/>
        <v>0</v>
      </c>
    </row>
    <row r="70" spans="1:16" s="1" customFormat="1" ht="64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4"/>
        <v>0</v>
      </c>
      <c r="P70" s="12">
        <f t="shared" si="3"/>
        <v>0</v>
      </c>
    </row>
    <row r="71" spans="1:16" s="1" customFormat="1" ht="64" x14ac:dyDescent="0.2">
      <c r="A71" s="14" t="s">
        <v>178</v>
      </c>
      <c r="B71" s="14" t="s">
        <v>194</v>
      </c>
      <c r="C71" s="10"/>
      <c r="D71" s="11">
        <v>5.5579999999999998</v>
      </c>
      <c r="E71" s="1">
        <f>1*E3</f>
        <v>0</v>
      </c>
      <c r="G71" s="1">
        <f>1*G3</f>
        <v>0</v>
      </c>
      <c r="H71" s="1">
        <f>1*H3</f>
        <v>0</v>
      </c>
      <c r="J71" s="1">
        <f>1*J3</f>
        <v>0</v>
      </c>
      <c r="O71" s="1">
        <f t="shared" si="4"/>
        <v>0</v>
      </c>
      <c r="P71" s="12">
        <f t="shared" si="3"/>
        <v>0</v>
      </c>
    </row>
    <row r="72" spans="1:16" s="1" customFormat="1" ht="64" x14ac:dyDescent="0.2">
      <c r="A72" s="14" t="s">
        <v>179</v>
      </c>
      <c r="B72" s="14" t="s">
        <v>195</v>
      </c>
      <c r="C72" s="10"/>
      <c r="D72" s="11">
        <v>5.5579999999999998</v>
      </c>
      <c r="E72" s="1">
        <f>1*E3</f>
        <v>0</v>
      </c>
      <c r="G72" s="1">
        <f>1*G3</f>
        <v>0</v>
      </c>
      <c r="H72" s="1">
        <f>1*H3</f>
        <v>0</v>
      </c>
      <c r="J72" s="1">
        <f>1*J3</f>
        <v>0</v>
      </c>
      <c r="O72" s="1">
        <f t="shared" si="4"/>
        <v>0</v>
      </c>
      <c r="P72" s="12">
        <f t="shared" si="3"/>
        <v>0</v>
      </c>
    </row>
    <row r="73" spans="1:16" s="1" customFormat="1" ht="64" x14ac:dyDescent="0.2">
      <c r="A73" s="14" t="s">
        <v>34</v>
      </c>
      <c r="B73" s="14" t="s">
        <v>79</v>
      </c>
      <c r="C73" s="10"/>
      <c r="D73" s="11">
        <v>3.3879999999999999</v>
      </c>
      <c r="O73" s="1">
        <f t="shared" si="4"/>
        <v>0</v>
      </c>
      <c r="P73" s="12">
        <f t="shared" si="3"/>
        <v>0</v>
      </c>
    </row>
    <row r="74" spans="1:16" s="1" customFormat="1" ht="64" x14ac:dyDescent="0.2">
      <c r="A74" s="14" t="s">
        <v>35</v>
      </c>
      <c r="B74" s="14" t="s">
        <v>80</v>
      </c>
      <c r="C74" s="10"/>
      <c r="D74" s="11">
        <v>3.3879999999999999</v>
      </c>
      <c r="O74" s="1">
        <f t="shared" si="4"/>
        <v>0</v>
      </c>
      <c r="P74" s="12">
        <f t="shared" si="3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4"/>
        <v>0</v>
      </c>
      <c r="P75" s="12">
        <f t="shared" si="3"/>
        <v>0</v>
      </c>
    </row>
    <row r="76" spans="1:16" s="1" customFormat="1" ht="64" x14ac:dyDescent="0.2">
      <c r="A76" s="14" t="s">
        <v>37</v>
      </c>
      <c r="B76" s="14" t="s">
        <v>82</v>
      </c>
      <c r="C76" s="10"/>
      <c r="D76" s="11">
        <v>2.702</v>
      </c>
      <c r="O76" s="1">
        <f t="shared" si="4"/>
        <v>0</v>
      </c>
      <c r="P76" s="12">
        <f t="shared" si="3"/>
        <v>0</v>
      </c>
    </row>
    <row r="77" spans="1:16" s="1" customFormat="1" ht="64" x14ac:dyDescent="0.2">
      <c r="A77" s="14" t="s">
        <v>38</v>
      </c>
      <c r="B77" s="14" t="s">
        <v>83</v>
      </c>
      <c r="C77" s="10"/>
      <c r="D77" s="11">
        <v>0.68599999999999994</v>
      </c>
      <c r="H77" s="1">
        <f>1*H3</f>
        <v>0</v>
      </c>
      <c r="J77" s="1">
        <f>1*J3</f>
        <v>0</v>
      </c>
      <c r="O77" s="1">
        <f t="shared" si="4"/>
        <v>0</v>
      </c>
      <c r="P77" s="12">
        <f t="shared" si="3"/>
        <v>0</v>
      </c>
    </row>
    <row r="78" spans="1:16" s="1" customFormat="1" ht="64" x14ac:dyDescent="0.2">
      <c r="A78" s="14" t="s">
        <v>39</v>
      </c>
      <c r="B78" s="14" t="s">
        <v>84</v>
      </c>
      <c r="C78" s="10"/>
      <c r="D78" s="11">
        <v>0.68599999999999994</v>
      </c>
      <c r="H78" s="1">
        <f>1*H3</f>
        <v>0</v>
      </c>
      <c r="J78" s="1">
        <f>1*J3</f>
        <v>0</v>
      </c>
      <c r="O78" s="1">
        <f t="shared" si="4"/>
        <v>0</v>
      </c>
      <c r="P78" s="12">
        <f t="shared" si="3"/>
        <v>0</v>
      </c>
    </row>
    <row r="79" spans="1:16" s="1" customFormat="1" ht="64" x14ac:dyDescent="0.2">
      <c r="A79" s="14" t="s">
        <v>40</v>
      </c>
      <c r="B79" s="14" t="s">
        <v>85</v>
      </c>
      <c r="C79" s="10"/>
      <c r="D79" s="11">
        <v>0.98</v>
      </c>
      <c r="E79" s="1">
        <f>1*E3</f>
        <v>0</v>
      </c>
      <c r="G79" s="1">
        <f>1*G3</f>
        <v>0</v>
      </c>
      <c r="O79" s="1">
        <f t="shared" si="4"/>
        <v>0</v>
      </c>
      <c r="P79" s="12">
        <f t="shared" si="3"/>
        <v>0</v>
      </c>
    </row>
    <row r="80" spans="1:16" s="1" customFormat="1" ht="64" x14ac:dyDescent="0.2">
      <c r="A80" s="14" t="s">
        <v>41</v>
      </c>
      <c r="B80" s="15" t="s">
        <v>254</v>
      </c>
      <c r="C80" s="16"/>
      <c r="D80" s="11">
        <v>0.98</v>
      </c>
      <c r="E80" s="1">
        <f>1*E3</f>
        <v>0</v>
      </c>
      <c r="G80" s="1">
        <f>1*G3</f>
        <v>0</v>
      </c>
      <c r="O80" s="1">
        <f t="shared" si="4"/>
        <v>0</v>
      </c>
      <c r="P80" s="12">
        <f t="shared" si="3"/>
        <v>0</v>
      </c>
    </row>
    <row r="81" spans="1:16" s="1" customFormat="1" ht="64" x14ac:dyDescent="0.2">
      <c r="A81" s="14" t="s">
        <v>136</v>
      </c>
      <c r="B81" s="14" t="s">
        <v>132</v>
      </c>
      <c r="C81" s="10"/>
      <c r="D81" s="11">
        <v>0.98</v>
      </c>
      <c r="O81" s="1">
        <f t="shared" si="4"/>
        <v>0</v>
      </c>
      <c r="P81" s="12">
        <f t="shared" si="3"/>
        <v>0</v>
      </c>
    </row>
    <row r="82" spans="1:16" s="1" customFormat="1" ht="64" x14ac:dyDescent="0.2">
      <c r="A82" s="14" t="s">
        <v>137</v>
      </c>
      <c r="B82" s="15" t="s">
        <v>255</v>
      </c>
      <c r="C82" s="16"/>
      <c r="D82" s="11">
        <v>0.98</v>
      </c>
      <c r="O82" s="1">
        <f t="shared" si="4"/>
        <v>0</v>
      </c>
      <c r="P82" s="12">
        <f t="shared" si="3"/>
        <v>0</v>
      </c>
    </row>
    <row r="83" spans="1:16" s="1" customFormat="1" ht="128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4"/>
        <v>0</v>
      </c>
      <c r="P83" s="12">
        <f t="shared" si="3"/>
        <v>0</v>
      </c>
    </row>
    <row r="84" spans="1:16" s="1" customFormat="1" ht="288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4"/>
        <v>0</v>
      </c>
      <c r="P84" s="12">
        <f t="shared" si="3"/>
        <v>0</v>
      </c>
    </row>
    <row r="85" spans="1:16" s="1" customFormat="1" ht="288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4"/>
        <v>0</v>
      </c>
      <c r="P85" s="12">
        <f t="shared" si="3"/>
        <v>0</v>
      </c>
    </row>
    <row r="86" spans="1:16" s="1" customFormat="1" ht="288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4"/>
        <v>0</v>
      </c>
      <c r="P86" s="12">
        <f t="shared" si="3"/>
        <v>0</v>
      </c>
    </row>
    <row r="87" spans="1:16" s="1" customFormat="1" ht="160" x14ac:dyDescent="0.2">
      <c r="A87" s="14" t="s">
        <v>180</v>
      </c>
      <c r="B87" s="10" t="s">
        <v>181</v>
      </c>
      <c r="C87" s="10"/>
      <c r="D87" s="11">
        <v>0.75</v>
      </c>
      <c r="O87" s="1">
        <f t="shared" si="4"/>
        <v>0</v>
      </c>
      <c r="P87" s="12">
        <f t="shared" si="3"/>
        <v>0</v>
      </c>
    </row>
    <row r="88" spans="1:16" s="1" customFormat="1" ht="160" x14ac:dyDescent="0.2">
      <c r="A88" s="14" t="s">
        <v>182</v>
      </c>
      <c r="B88" s="10" t="s">
        <v>183</v>
      </c>
      <c r="C88" s="10"/>
      <c r="D88" s="11">
        <v>0.75</v>
      </c>
      <c r="O88" s="1">
        <f t="shared" si="4"/>
        <v>0</v>
      </c>
      <c r="P88" s="12">
        <f t="shared" si="3"/>
        <v>0</v>
      </c>
    </row>
    <row r="89" spans="1:16" s="1" customFormat="1" ht="160" x14ac:dyDescent="0.2">
      <c r="A89" s="14" t="s">
        <v>184</v>
      </c>
      <c r="B89" s="10" t="s">
        <v>185</v>
      </c>
      <c r="C89" s="10"/>
      <c r="D89" s="11">
        <v>0.75</v>
      </c>
      <c r="O89" s="1">
        <f t="shared" si="4"/>
        <v>0</v>
      </c>
      <c r="P89" s="12">
        <f t="shared" si="3"/>
        <v>0</v>
      </c>
    </row>
    <row r="90" spans="1:16" s="1" customFormat="1" ht="160" x14ac:dyDescent="0.2">
      <c r="A90" s="14" t="s">
        <v>186</v>
      </c>
      <c r="B90" s="14" t="s">
        <v>256</v>
      </c>
      <c r="C90" s="10"/>
      <c r="D90" s="11">
        <v>0.75</v>
      </c>
      <c r="O90" s="1">
        <f t="shared" si="4"/>
        <v>0</v>
      </c>
      <c r="P90" s="12">
        <f t="shared" si="3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A34A-4AD5-9949-B2DF-8406929528A2}">
  <sheetPr>
    <tabColor theme="4"/>
  </sheetPr>
  <dimension ref="A1:R92"/>
  <sheetViews>
    <sheetView topLeftCell="F1" workbookViewId="0">
      <selection activeCell="K3" sqref="K3"/>
    </sheetView>
  </sheetViews>
  <sheetFormatPr baseColWidth="10" defaultRowHeight="16" x14ac:dyDescent="0.2"/>
  <cols>
    <col min="1" max="1" width="65" customWidth="1"/>
    <col min="2" max="2" width="51" customWidth="1"/>
    <col min="3" max="3" width="62.5" customWidth="1"/>
    <col min="4" max="4" width="47.1640625" customWidth="1"/>
    <col min="5" max="5" width="45" customWidth="1"/>
    <col min="6" max="6" width="41.83203125" customWidth="1"/>
    <col min="7" max="7" width="52.1640625" customWidth="1"/>
    <col min="8" max="8" width="41" customWidth="1"/>
    <col min="9" max="9" width="46.33203125" customWidth="1"/>
    <col min="10" max="10" width="46.1640625" customWidth="1"/>
    <col min="11" max="11" width="4" customWidth="1"/>
    <col min="12" max="12" width="3.83203125" customWidth="1"/>
    <col min="13" max="13" width="4.5" customWidth="1"/>
    <col min="14" max="14" width="5.83203125" customWidth="1"/>
    <col min="15" max="15" width="35" customWidth="1"/>
    <col min="16" max="16" width="36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250</v>
      </c>
      <c r="F1" s="4" t="s">
        <v>266</v>
      </c>
      <c r="G1" s="4" t="s">
        <v>251</v>
      </c>
      <c r="H1" s="4" t="s">
        <v>252</v>
      </c>
      <c r="I1" s="4" t="s">
        <v>267</v>
      </c>
      <c r="J1" s="4" t="s">
        <v>253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G4" s="1">
        <f>6*G3</f>
        <v>0</v>
      </c>
      <c r="J4" s="1">
        <f t="shared" ref="J4" si="0">6*J3</f>
        <v>0</v>
      </c>
      <c r="O4" s="1">
        <f>SUM(E4:J4)</f>
        <v>0</v>
      </c>
      <c r="P4" s="12">
        <f t="shared" ref="P4:P35" si="1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2*G3</f>
        <v>0</v>
      </c>
      <c r="J5" s="1">
        <f t="shared" ref="J5" si="2">2*J3</f>
        <v>0</v>
      </c>
      <c r="O5" s="1">
        <f t="shared" ref="O5:O68" si="3">SUM(E5:J5)</f>
        <v>0</v>
      </c>
      <c r="P5" s="12">
        <f t="shared" si="1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E6" s="1">
        <f>6*E3</f>
        <v>0</v>
      </c>
      <c r="F6" s="1">
        <f>6*F3</f>
        <v>0</v>
      </c>
      <c r="H6" s="1">
        <f t="shared" ref="H6:I6" si="4">6*H3</f>
        <v>0</v>
      </c>
      <c r="I6" s="1">
        <f t="shared" si="4"/>
        <v>0</v>
      </c>
      <c r="O6" s="1">
        <f t="shared" si="3"/>
        <v>0</v>
      </c>
      <c r="P6" s="12">
        <f t="shared" si="1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2*E3</f>
        <v>0</v>
      </c>
      <c r="F7" s="1">
        <f t="shared" ref="F7:I7" si="5">2*F3</f>
        <v>0</v>
      </c>
      <c r="H7" s="1">
        <f t="shared" si="5"/>
        <v>0</v>
      </c>
      <c r="I7" s="1">
        <f t="shared" si="5"/>
        <v>0</v>
      </c>
      <c r="O7" s="1">
        <f t="shared" si="3"/>
        <v>0</v>
      </c>
      <c r="P7" s="12">
        <f t="shared" si="1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3"/>
        <v>0</v>
      </c>
      <c r="P8" s="12">
        <f t="shared" si="1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3"/>
        <v>0</v>
      </c>
      <c r="P9" s="12">
        <f t="shared" si="1"/>
        <v>0</v>
      </c>
    </row>
    <row r="10" spans="1:18" s="1" customFormat="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9*J3</f>
        <v>0</v>
      </c>
      <c r="O10" s="1">
        <f t="shared" si="3"/>
        <v>0</v>
      </c>
      <c r="P10" s="12">
        <f t="shared" si="1"/>
        <v>0</v>
      </c>
    </row>
    <row r="11" spans="1:18" s="1" customFormat="1" ht="128" customHeight="1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9*H3</f>
        <v>0</v>
      </c>
      <c r="I11" s="1">
        <f>9*I3</f>
        <v>0</v>
      </c>
      <c r="O11" s="1">
        <f t="shared" si="3"/>
        <v>0</v>
      </c>
      <c r="P11" s="12">
        <f t="shared" si="1"/>
        <v>0</v>
      </c>
    </row>
    <row r="12" spans="1:18" s="1" customFormat="1" ht="96" x14ac:dyDescent="0.2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3"/>
        <v>0</v>
      </c>
      <c r="P12" s="12">
        <f t="shared" si="1"/>
        <v>0</v>
      </c>
    </row>
    <row r="13" spans="1:18" s="1" customFormat="1" ht="96" x14ac:dyDescent="0.2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3"/>
        <v>0</v>
      </c>
      <c r="P13" s="12">
        <f t="shared" si="1"/>
        <v>0</v>
      </c>
    </row>
    <row r="14" spans="1:18" s="1" customFormat="1" ht="96" x14ac:dyDescent="0.2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3"/>
        <v>0</v>
      </c>
      <c r="P14" s="12">
        <f t="shared" si="1"/>
        <v>0</v>
      </c>
    </row>
    <row r="15" spans="1:18" s="1" customFormat="1" ht="96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3"/>
        <v>0</v>
      </c>
      <c r="P15" s="12">
        <f t="shared" si="1"/>
        <v>0</v>
      </c>
    </row>
    <row r="16" spans="1:18" s="1" customFormat="1" ht="96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3"/>
        <v>0</v>
      </c>
      <c r="P16" s="12">
        <f t="shared" si="1"/>
        <v>0</v>
      </c>
    </row>
    <row r="17" spans="1:16" s="1" customFormat="1" ht="96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3"/>
        <v>0</v>
      </c>
      <c r="P17" s="12">
        <f t="shared" si="1"/>
        <v>0</v>
      </c>
    </row>
    <row r="18" spans="1:16" s="1" customFormat="1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9*G3</f>
        <v>0</v>
      </c>
      <c r="O18" s="1">
        <f t="shared" si="3"/>
        <v>0</v>
      </c>
      <c r="P18" s="12">
        <f t="shared" si="1"/>
        <v>0</v>
      </c>
    </row>
    <row r="19" spans="1:16" s="1" customFormat="1" ht="96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3"/>
        <v>0</v>
      </c>
      <c r="P19" s="12">
        <f t="shared" si="1"/>
        <v>0</v>
      </c>
    </row>
    <row r="20" spans="1:16" s="1" customFormat="1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9*E3</f>
        <v>0</v>
      </c>
      <c r="F20" s="1">
        <f>9*F3</f>
        <v>0</v>
      </c>
      <c r="O20" s="1">
        <f t="shared" si="3"/>
        <v>0</v>
      </c>
      <c r="P20" s="12">
        <f t="shared" si="1"/>
        <v>0</v>
      </c>
    </row>
    <row r="21" spans="1:16" s="1" customFormat="1" ht="96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3"/>
        <v>0</v>
      </c>
      <c r="P21" s="12">
        <f t="shared" si="1"/>
        <v>0</v>
      </c>
    </row>
    <row r="22" spans="1:16" s="1" customFormat="1" ht="96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3"/>
        <v>0</v>
      </c>
      <c r="P22" s="12">
        <f t="shared" si="1"/>
        <v>0</v>
      </c>
    </row>
    <row r="23" spans="1:16" s="1" customFormat="1" ht="96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3"/>
        <v>0</v>
      </c>
      <c r="P23" s="12">
        <f t="shared" si="1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3"/>
        <v>0</v>
      </c>
      <c r="P24" s="12">
        <f t="shared" si="1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3"/>
        <v>0</v>
      </c>
      <c r="P25" s="12">
        <f t="shared" si="1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3"/>
        <v>0</v>
      </c>
      <c r="P26" s="12">
        <f t="shared" si="1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3"/>
        <v>0</v>
      </c>
      <c r="P27" s="12">
        <f t="shared" si="1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3"/>
        <v>0</v>
      </c>
      <c r="P28" s="12">
        <f t="shared" si="1"/>
        <v>0</v>
      </c>
    </row>
    <row r="29" spans="1:16" s="1" customFormat="1" ht="96" x14ac:dyDescent="0.2">
      <c r="A29" s="14" t="s">
        <v>170</v>
      </c>
      <c r="B29" s="14" t="s">
        <v>171</v>
      </c>
      <c r="C29" s="10"/>
      <c r="D29" s="11">
        <v>7.2</v>
      </c>
      <c r="O29" s="1">
        <f t="shared" si="3"/>
        <v>0</v>
      </c>
      <c r="P29" s="12">
        <f t="shared" si="1"/>
        <v>0</v>
      </c>
    </row>
    <row r="30" spans="1:16" s="1" customFormat="1" ht="96" x14ac:dyDescent="0.2">
      <c r="A30" s="78" t="s">
        <v>312</v>
      </c>
      <c r="B30" s="14" t="s">
        <v>173</v>
      </c>
      <c r="C30" s="10"/>
      <c r="D30" s="11">
        <v>7.2</v>
      </c>
      <c r="O30" s="1">
        <f t="shared" si="3"/>
        <v>0</v>
      </c>
      <c r="P30" s="12">
        <f t="shared" si="1"/>
        <v>0</v>
      </c>
    </row>
    <row r="31" spans="1:16" s="1" customFormat="1" ht="96" x14ac:dyDescent="0.2">
      <c r="A31" s="14" t="s">
        <v>172</v>
      </c>
      <c r="B31" s="14" t="s">
        <v>173</v>
      </c>
      <c r="C31" s="10"/>
      <c r="D31" s="11">
        <v>7.2</v>
      </c>
      <c r="O31" s="1">
        <f t="shared" si="3"/>
        <v>0</v>
      </c>
      <c r="P31" s="12">
        <f t="shared" si="1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3"/>
        <v>0</v>
      </c>
      <c r="P32" s="12">
        <f t="shared" si="1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3"/>
        <v>0</v>
      </c>
      <c r="P33" s="12">
        <f t="shared" si="1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3"/>
        <v>0</v>
      </c>
      <c r="P34" s="12">
        <f t="shared" si="1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3"/>
        <v>0</v>
      </c>
      <c r="P35" s="12">
        <f t="shared" si="1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3"/>
        <v>0</v>
      </c>
      <c r="P36" s="12">
        <f t="shared" ref="P36:P67" si="6">D36*O36</f>
        <v>0</v>
      </c>
    </row>
    <row r="37" spans="1:16" s="1" customFormat="1" ht="64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3"/>
        <v>0</v>
      </c>
      <c r="P37" s="12">
        <f t="shared" si="6"/>
        <v>0</v>
      </c>
    </row>
    <row r="38" spans="1:16" s="1" customFormat="1" ht="64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3"/>
        <v>0</v>
      </c>
      <c r="P38" s="12">
        <f t="shared" si="6"/>
        <v>0</v>
      </c>
    </row>
    <row r="39" spans="1:16" s="1" customFormat="1" ht="64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3"/>
        <v>0</v>
      </c>
      <c r="P39" s="12">
        <f t="shared" si="6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3"/>
        <v>0</v>
      </c>
      <c r="P40" s="12">
        <f t="shared" si="6"/>
        <v>0</v>
      </c>
    </row>
    <row r="41" spans="1:16" s="1" customFormat="1" ht="64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3"/>
        <v>0</v>
      </c>
      <c r="P41" s="12">
        <f t="shared" si="6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3"/>
        <v>0</v>
      </c>
      <c r="P42" s="12">
        <f t="shared" si="6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3"/>
        <v>0</v>
      </c>
      <c r="P43" s="12">
        <f t="shared" si="6"/>
        <v>0</v>
      </c>
    </row>
    <row r="44" spans="1:16" s="1" customFormat="1" ht="85" customHeight="1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16*H3</f>
        <v>0</v>
      </c>
      <c r="I44" s="1">
        <f>16*I3</f>
        <v>0</v>
      </c>
      <c r="J44" s="1">
        <f>16*J3</f>
        <v>0</v>
      </c>
      <c r="O44" s="1">
        <f t="shared" si="3"/>
        <v>0</v>
      </c>
      <c r="P44" s="12">
        <f t="shared" si="6"/>
        <v>0</v>
      </c>
    </row>
    <row r="45" spans="1:16" s="1" customFormat="1" ht="85" customHeight="1" x14ac:dyDescent="0.2">
      <c r="A45" s="9" t="s">
        <v>13</v>
      </c>
      <c r="B45" s="9" t="s">
        <v>60</v>
      </c>
      <c r="C45" s="10"/>
      <c r="D45" s="11">
        <v>0.73</v>
      </c>
      <c r="E45" s="1">
        <f>16*E3</f>
        <v>0</v>
      </c>
      <c r="F45" s="1">
        <f>16*F3</f>
        <v>0</v>
      </c>
      <c r="G45" s="1">
        <f>16*G3</f>
        <v>0</v>
      </c>
      <c r="O45" s="1">
        <f t="shared" si="3"/>
        <v>0</v>
      </c>
      <c r="P45" s="12">
        <f t="shared" si="6"/>
        <v>0</v>
      </c>
    </row>
    <row r="46" spans="1:16" s="1" customFormat="1" ht="89" customHeight="1" x14ac:dyDescent="0.2">
      <c r="A46" s="9" t="s">
        <v>135</v>
      </c>
      <c r="B46" s="9" t="s">
        <v>134</v>
      </c>
      <c r="C46" s="10"/>
      <c r="D46" s="11">
        <v>0.73</v>
      </c>
      <c r="O46" s="1">
        <f t="shared" si="3"/>
        <v>0</v>
      </c>
      <c r="P46" s="12">
        <f t="shared" si="6"/>
        <v>0</v>
      </c>
    </row>
    <row r="47" spans="1:16" s="1" customFormat="1" ht="95" customHeight="1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3"/>
        <v>0</v>
      </c>
      <c r="P47" s="12">
        <f t="shared" si="6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3"/>
        <v>0</v>
      </c>
      <c r="P48" s="12">
        <f t="shared" si="6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3"/>
        <v>0</v>
      </c>
      <c r="P49" s="12">
        <f t="shared" si="6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3"/>
        <v>0</v>
      </c>
      <c r="P50" s="12">
        <f t="shared" si="6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E51" s="1">
        <f>2*E3</f>
        <v>0</v>
      </c>
      <c r="F51" s="1">
        <f>1*F3</f>
        <v>0</v>
      </c>
      <c r="G51" s="1">
        <f>2*G3</f>
        <v>0</v>
      </c>
      <c r="H51" s="1">
        <f>2*H3</f>
        <v>0</v>
      </c>
      <c r="I51" s="1">
        <f>1*I3</f>
        <v>0</v>
      </c>
      <c r="J51" s="1">
        <f>2*J3</f>
        <v>0</v>
      </c>
      <c r="O51" s="1">
        <f t="shared" si="3"/>
        <v>0</v>
      </c>
      <c r="P51" s="12">
        <f t="shared" si="6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O52" s="1">
        <f t="shared" si="3"/>
        <v>0</v>
      </c>
      <c r="P52" s="12">
        <f t="shared" si="6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O53" s="1">
        <f t="shared" si="3"/>
        <v>0</v>
      </c>
      <c r="P53" s="12">
        <f t="shared" si="6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2*H3</f>
        <v>0</v>
      </c>
      <c r="I54" s="1">
        <f>1*I3</f>
        <v>0</v>
      </c>
      <c r="J54" s="1">
        <f>2*J3</f>
        <v>0</v>
      </c>
      <c r="O54" s="1">
        <f t="shared" si="3"/>
        <v>0</v>
      </c>
      <c r="P54" s="12">
        <f t="shared" si="6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2*E3</f>
        <v>0</v>
      </c>
      <c r="F55" s="1">
        <f>1*F3</f>
        <v>0</v>
      </c>
      <c r="G55" s="1">
        <f>2*G3</f>
        <v>0</v>
      </c>
      <c r="O55" s="1">
        <f t="shared" si="3"/>
        <v>0</v>
      </c>
      <c r="P55" s="12">
        <f t="shared" si="6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3"/>
        <v>0</v>
      </c>
      <c r="P56" s="12">
        <f t="shared" si="6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>2*E3</f>
        <v>0</v>
      </c>
      <c r="F57" s="1">
        <f>1*F3</f>
        <v>0</v>
      </c>
      <c r="G57" s="1">
        <f>2*G3</f>
        <v>0</v>
      </c>
      <c r="H57" s="1">
        <f>2*H3</f>
        <v>0</v>
      </c>
      <c r="I57" s="1">
        <f>1*I3</f>
        <v>0</v>
      </c>
      <c r="J57" s="1">
        <f>2*J3</f>
        <v>0</v>
      </c>
      <c r="O57" s="1">
        <f t="shared" si="3"/>
        <v>0</v>
      </c>
      <c r="P57" s="12">
        <f t="shared" si="6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>2*E3</f>
        <v>0</v>
      </c>
      <c r="F58" s="1">
        <f>1*F3</f>
        <v>0</v>
      </c>
      <c r="G58" s="1">
        <f>2*G3</f>
        <v>0</v>
      </c>
      <c r="H58" s="1">
        <f>2*H3</f>
        <v>0</v>
      </c>
      <c r="I58" s="1">
        <f>1*I3</f>
        <v>0</v>
      </c>
      <c r="J58" s="1">
        <f>2*J3</f>
        <v>0</v>
      </c>
      <c r="O58" s="1">
        <f t="shared" si="3"/>
        <v>0</v>
      </c>
      <c r="P58" s="12">
        <f t="shared" si="6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2*E3</f>
        <v>0</v>
      </c>
      <c r="F59" s="1">
        <f>1*F3</f>
        <v>0</v>
      </c>
      <c r="G59" s="1">
        <f>2*G3</f>
        <v>0</v>
      </c>
      <c r="H59" s="1">
        <f>2*H3</f>
        <v>0</v>
      </c>
      <c r="I59" s="1">
        <f>1*I3</f>
        <v>0</v>
      </c>
      <c r="J59" s="1">
        <f>2*J3</f>
        <v>0</v>
      </c>
      <c r="O59" s="1">
        <f t="shared" si="3"/>
        <v>0</v>
      </c>
      <c r="P59" s="12">
        <f t="shared" si="6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>2*E3</f>
        <v>0</v>
      </c>
      <c r="F60" s="1">
        <f>1*F3</f>
        <v>0</v>
      </c>
      <c r="G60" s="1">
        <f>2*G3</f>
        <v>0</v>
      </c>
      <c r="H60" s="1">
        <f>2*H3</f>
        <v>0</v>
      </c>
      <c r="I60" s="1">
        <f>1*I3</f>
        <v>0</v>
      </c>
      <c r="J60" s="1">
        <f>2*J3</f>
        <v>0</v>
      </c>
      <c r="O60" s="1">
        <f t="shared" si="3"/>
        <v>0</v>
      </c>
      <c r="P60" s="12">
        <f t="shared" si="6"/>
        <v>0</v>
      </c>
    </row>
    <row r="61" spans="1:16" s="1" customFormat="1" ht="64" x14ac:dyDescent="0.2">
      <c r="A61" s="14" t="s">
        <v>26</v>
      </c>
      <c r="B61" s="14" t="s">
        <v>72</v>
      </c>
      <c r="C61" s="10"/>
      <c r="D61" s="11">
        <v>3.49</v>
      </c>
      <c r="O61" s="1">
        <f t="shared" si="3"/>
        <v>0</v>
      </c>
      <c r="P61" s="12">
        <f t="shared" si="6"/>
        <v>0</v>
      </c>
    </row>
    <row r="62" spans="1:16" s="1" customFormat="1" ht="160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3"/>
        <v>0</v>
      </c>
      <c r="P62" s="12">
        <f t="shared" si="6"/>
        <v>0</v>
      </c>
    </row>
    <row r="63" spans="1:16" s="1" customFormat="1" ht="181" customHeight="1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3"/>
        <v>0</v>
      </c>
      <c r="P63" s="12">
        <f t="shared" si="6"/>
        <v>0</v>
      </c>
    </row>
    <row r="64" spans="1:16" s="1" customFormat="1" ht="79" customHeight="1" x14ac:dyDescent="0.2">
      <c r="A64" s="14" t="s">
        <v>29</v>
      </c>
      <c r="B64" s="14" t="s">
        <v>75</v>
      </c>
      <c r="C64" s="10"/>
      <c r="D64" s="11">
        <v>1.1399999999999999</v>
      </c>
      <c r="E64" s="1">
        <f>2*E3</f>
        <v>0</v>
      </c>
      <c r="F64" s="1">
        <f>1*F3</f>
        <v>0</v>
      </c>
      <c r="G64" s="1">
        <f>2*G3</f>
        <v>0</v>
      </c>
      <c r="H64" s="1">
        <f>2*H3</f>
        <v>0</v>
      </c>
      <c r="I64" s="1">
        <f>1*I3</f>
        <v>0</v>
      </c>
      <c r="J64" s="1">
        <f>2*J3</f>
        <v>0</v>
      </c>
      <c r="O64" s="1">
        <f t="shared" si="3"/>
        <v>0</v>
      </c>
      <c r="P64" s="12">
        <f t="shared" si="6"/>
        <v>0</v>
      </c>
    </row>
    <row r="65" spans="1:16" s="1" customFormat="1" ht="62" customHeight="1" x14ac:dyDescent="0.2">
      <c r="A65" s="14" t="s">
        <v>30</v>
      </c>
      <c r="B65" s="14" t="s">
        <v>76</v>
      </c>
      <c r="C65" s="10"/>
      <c r="D65" s="11">
        <v>1.22</v>
      </c>
      <c r="O65" s="1">
        <f t="shared" si="3"/>
        <v>0</v>
      </c>
      <c r="P65" s="12">
        <f t="shared" si="6"/>
        <v>0</v>
      </c>
    </row>
    <row r="66" spans="1:16" s="1" customFormat="1" ht="32" x14ac:dyDescent="0.2">
      <c r="A66" s="14" t="s">
        <v>31</v>
      </c>
      <c r="B66" s="14" t="s">
        <v>259</v>
      </c>
      <c r="C66" s="10"/>
      <c r="D66" s="11">
        <v>2.15</v>
      </c>
      <c r="O66" s="1">
        <f t="shared" si="3"/>
        <v>0</v>
      </c>
      <c r="P66" s="12">
        <f t="shared" si="6"/>
        <v>0</v>
      </c>
    </row>
    <row r="67" spans="1:16" s="1" customFormat="1" ht="64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3"/>
        <v>0</v>
      </c>
      <c r="P67" s="12">
        <f t="shared" si="6"/>
        <v>0</v>
      </c>
    </row>
    <row r="68" spans="1:16" s="1" customFormat="1" ht="64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3"/>
        <v>0</v>
      </c>
      <c r="P68" s="12">
        <f t="shared" ref="P68:P90" si="7">D68*O68</f>
        <v>0</v>
      </c>
    </row>
    <row r="69" spans="1:16" s="1" customFormat="1" ht="98" customHeight="1" x14ac:dyDescent="0.2">
      <c r="A69" s="14" t="s">
        <v>176</v>
      </c>
      <c r="B69" s="14" t="s">
        <v>192</v>
      </c>
      <c r="C69" s="10"/>
      <c r="D69" s="11">
        <v>5.5579999999999998</v>
      </c>
      <c r="E69" s="1">
        <f>1*E3</f>
        <v>0</v>
      </c>
      <c r="G69" s="1">
        <f>1*G3</f>
        <v>0</v>
      </c>
      <c r="H69" s="1">
        <f>1*H3</f>
        <v>0</v>
      </c>
      <c r="J69" s="1">
        <f>1*J3</f>
        <v>0</v>
      </c>
      <c r="O69" s="1">
        <f t="shared" ref="O69:O90" si="8">SUM(E69:J69)</f>
        <v>0</v>
      </c>
      <c r="P69" s="12">
        <f t="shared" si="7"/>
        <v>0</v>
      </c>
    </row>
    <row r="70" spans="1:16" s="1" customFormat="1" ht="64" x14ac:dyDescent="0.2">
      <c r="A70" s="14" t="s">
        <v>177</v>
      </c>
      <c r="B70" s="14" t="s">
        <v>193</v>
      </c>
      <c r="C70" s="10"/>
      <c r="D70" s="11">
        <v>5.5579999999999998</v>
      </c>
      <c r="E70" s="1">
        <f>1*E3</f>
        <v>0</v>
      </c>
      <c r="G70" s="1">
        <f>1*G3</f>
        <v>0</v>
      </c>
      <c r="H70" s="1">
        <f>1*H3</f>
        <v>0</v>
      </c>
      <c r="J70" s="1">
        <f>1*J3</f>
        <v>0</v>
      </c>
      <c r="O70" s="1">
        <f t="shared" si="8"/>
        <v>0</v>
      </c>
      <c r="P70" s="12">
        <f t="shared" si="7"/>
        <v>0</v>
      </c>
    </row>
    <row r="71" spans="1:16" s="1" customFormat="1" ht="64" x14ac:dyDescent="0.2">
      <c r="A71" s="14" t="s">
        <v>178</v>
      </c>
      <c r="B71" s="14" t="s">
        <v>194</v>
      </c>
      <c r="C71" s="10"/>
      <c r="D71" s="11">
        <v>5.5579999999999998</v>
      </c>
      <c r="O71" s="1">
        <f t="shared" si="8"/>
        <v>0</v>
      </c>
      <c r="P71" s="12">
        <f t="shared" si="7"/>
        <v>0</v>
      </c>
    </row>
    <row r="72" spans="1:16" s="1" customFormat="1" ht="64" x14ac:dyDescent="0.2">
      <c r="A72" s="14" t="s">
        <v>179</v>
      </c>
      <c r="B72" s="14" t="s">
        <v>195</v>
      </c>
      <c r="C72" s="10"/>
      <c r="D72" s="11">
        <v>5.5579999999999998</v>
      </c>
      <c r="O72" s="1">
        <f t="shared" si="8"/>
        <v>0</v>
      </c>
      <c r="P72" s="12">
        <f t="shared" si="7"/>
        <v>0</v>
      </c>
    </row>
    <row r="73" spans="1:16" s="1" customFormat="1" ht="64" x14ac:dyDescent="0.2">
      <c r="A73" s="14" t="s">
        <v>34</v>
      </c>
      <c r="B73" s="14" t="s">
        <v>79</v>
      </c>
      <c r="C73" s="10"/>
      <c r="D73" s="11">
        <v>3.3879999999999999</v>
      </c>
      <c r="O73" s="1">
        <f t="shared" si="8"/>
        <v>0</v>
      </c>
      <c r="P73" s="12">
        <f t="shared" si="7"/>
        <v>0</v>
      </c>
    </row>
    <row r="74" spans="1:16" s="1" customFormat="1" ht="64" x14ac:dyDescent="0.2">
      <c r="A74" s="14" t="s">
        <v>35</v>
      </c>
      <c r="B74" s="14" t="s">
        <v>80</v>
      </c>
      <c r="C74" s="10"/>
      <c r="D74" s="11">
        <v>3.3879999999999999</v>
      </c>
      <c r="O74" s="1">
        <f t="shared" si="8"/>
        <v>0</v>
      </c>
      <c r="P74" s="12">
        <f t="shared" si="7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8"/>
        <v>0</v>
      </c>
      <c r="P75" s="12">
        <f t="shared" si="7"/>
        <v>0</v>
      </c>
    </row>
    <row r="76" spans="1:16" s="1" customFormat="1" ht="64" x14ac:dyDescent="0.2">
      <c r="A76" s="14" t="s">
        <v>37</v>
      </c>
      <c r="B76" s="14" t="s">
        <v>82</v>
      </c>
      <c r="C76" s="10"/>
      <c r="D76" s="11">
        <v>2.702</v>
      </c>
      <c r="O76" s="1">
        <f t="shared" si="8"/>
        <v>0</v>
      </c>
      <c r="P76" s="12">
        <f t="shared" si="7"/>
        <v>0</v>
      </c>
    </row>
    <row r="77" spans="1:16" s="1" customFormat="1" ht="64" x14ac:dyDescent="0.2">
      <c r="A77" s="14" t="s">
        <v>38</v>
      </c>
      <c r="B77" s="14" t="s">
        <v>83</v>
      </c>
      <c r="C77" s="10"/>
      <c r="D77" s="11">
        <v>0.68599999999999994</v>
      </c>
      <c r="H77" s="1">
        <f>1*H3</f>
        <v>0</v>
      </c>
      <c r="J77" s="1">
        <f>1*J3</f>
        <v>0</v>
      </c>
      <c r="O77" s="1">
        <f t="shared" si="8"/>
        <v>0</v>
      </c>
      <c r="P77" s="12">
        <f t="shared" si="7"/>
        <v>0</v>
      </c>
    </row>
    <row r="78" spans="1:16" s="1" customFormat="1" ht="64" x14ac:dyDescent="0.2">
      <c r="A78" s="14" t="s">
        <v>39</v>
      </c>
      <c r="B78" s="14" t="s">
        <v>84</v>
      </c>
      <c r="C78" s="10"/>
      <c r="D78" s="11">
        <v>0.68599999999999994</v>
      </c>
      <c r="H78" s="1">
        <f>1*H3</f>
        <v>0</v>
      </c>
      <c r="J78" s="1">
        <f>1*J3</f>
        <v>0</v>
      </c>
      <c r="O78" s="1">
        <f t="shared" si="8"/>
        <v>0</v>
      </c>
      <c r="P78" s="12">
        <f t="shared" si="7"/>
        <v>0</v>
      </c>
    </row>
    <row r="79" spans="1:16" s="1" customFormat="1" ht="64" x14ac:dyDescent="0.2">
      <c r="A79" s="14" t="s">
        <v>40</v>
      </c>
      <c r="B79" s="14" t="s">
        <v>85</v>
      </c>
      <c r="C79" s="10"/>
      <c r="D79" s="11">
        <v>0.98</v>
      </c>
      <c r="E79" s="1">
        <f>1*E3</f>
        <v>0</v>
      </c>
      <c r="G79" s="1">
        <f>1*G3</f>
        <v>0</v>
      </c>
      <c r="O79" s="1">
        <f t="shared" si="8"/>
        <v>0</v>
      </c>
      <c r="P79" s="12">
        <f t="shared" si="7"/>
        <v>0</v>
      </c>
    </row>
    <row r="80" spans="1:16" s="1" customFormat="1" ht="64" x14ac:dyDescent="0.2">
      <c r="A80" s="14" t="s">
        <v>41</v>
      </c>
      <c r="B80" s="15" t="s">
        <v>254</v>
      </c>
      <c r="C80" s="16"/>
      <c r="D80" s="11">
        <v>0.98</v>
      </c>
      <c r="E80" s="1">
        <f>1*E3</f>
        <v>0</v>
      </c>
      <c r="G80" s="1">
        <f>1*G3</f>
        <v>0</v>
      </c>
      <c r="O80" s="1">
        <f t="shared" si="8"/>
        <v>0</v>
      </c>
      <c r="P80" s="12">
        <f t="shared" si="7"/>
        <v>0</v>
      </c>
    </row>
    <row r="81" spans="1:16" s="1" customFormat="1" ht="64" x14ac:dyDescent="0.2">
      <c r="A81" s="14" t="s">
        <v>136</v>
      </c>
      <c r="B81" s="14" t="s">
        <v>132</v>
      </c>
      <c r="C81" s="10"/>
      <c r="D81" s="11">
        <v>0.98</v>
      </c>
      <c r="O81" s="1">
        <f t="shared" si="8"/>
        <v>0</v>
      </c>
      <c r="P81" s="12">
        <f t="shared" si="7"/>
        <v>0</v>
      </c>
    </row>
    <row r="82" spans="1:16" s="1" customFormat="1" ht="64" x14ac:dyDescent="0.2">
      <c r="A82" s="14" t="s">
        <v>137</v>
      </c>
      <c r="B82" s="15" t="s">
        <v>255</v>
      </c>
      <c r="C82" s="16"/>
      <c r="D82" s="11">
        <v>0.98</v>
      </c>
      <c r="O82" s="1">
        <f t="shared" si="8"/>
        <v>0</v>
      </c>
      <c r="P82" s="12">
        <f t="shared" si="7"/>
        <v>0</v>
      </c>
    </row>
    <row r="83" spans="1:16" s="1" customFormat="1" ht="128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8"/>
        <v>0</v>
      </c>
      <c r="P83" s="12">
        <f t="shared" si="7"/>
        <v>0</v>
      </c>
    </row>
    <row r="84" spans="1:16" s="1" customFormat="1" ht="256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8"/>
        <v>0</v>
      </c>
      <c r="P84" s="12">
        <f t="shared" si="7"/>
        <v>0</v>
      </c>
    </row>
    <row r="85" spans="1:16" s="1" customFormat="1" ht="256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8"/>
        <v>0</v>
      </c>
      <c r="P85" s="12">
        <f t="shared" si="7"/>
        <v>0</v>
      </c>
    </row>
    <row r="86" spans="1:16" s="1" customFormat="1" ht="256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8"/>
        <v>0</v>
      </c>
      <c r="P86" s="12">
        <f t="shared" si="7"/>
        <v>0</v>
      </c>
    </row>
    <row r="87" spans="1:16" s="1" customFormat="1" ht="128" x14ac:dyDescent="0.2">
      <c r="A87" s="14" t="s">
        <v>180</v>
      </c>
      <c r="B87" s="10" t="s">
        <v>181</v>
      </c>
      <c r="C87" s="10"/>
      <c r="D87" s="11">
        <v>0.75</v>
      </c>
      <c r="O87" s="1">
        <f t="shared" si="8"/>
        <v>0</v>
      </c>
      <c r="P87" s="12">
        <f t="shared" si="7"/>
        <v>0</v>
      </c>
    </row>
    <row r="88" spans="1:16" s="1" customFormat="1" ht="128" x14ac:dyDescent="0.2">
      <c r="A88" s="14" t="s">
        <v>182</v>
      </c>
      <c r="B88" s="10" t="s">
        <v>183</v>
      </c>
      <c r="C88" s="10"/>
      <c r="D88" s="11">
        <v>0.75</v>
      </c>
      <c r="O88" s="1">
        <f t="shared" si="8"/>
        <v>0</v>
      </c>
      <c r="P88" s="12">
        <f t="shared" si="7"/>
        <v>0</v>
      </c>
    </row>
    <row r="89" spans="1:16" s="1" customFormat="1" ht="128" x14ac:dyDescent="0.2">
      <c r="A89" s="14" t="s">
        <v>184</v>
      </c>
      <c r="B89" s="10" t="s">
        <v>185</v>
      </c>
      <c r="C89" s="10"/>
      <c r="D89" s="11">
        <v>0.75</v>
      </c>
      <c r="O89" s="1">
        <f t="shared" si="8"/>
        <v>0</v>
      </c>
      <c r="P89" s="12">
        <f t="shared" si="7"/>
        <v>0</v>
      </c>
    </row>
    <row r="90" spans="1:16" s="1" customFormat="1" ht="128" x14ac:dyDescent="0.2">
      <c r="A90" s="14" t="s">
        <v>186</v>
      </c>
      <c r="B90" s="14" t="s">
        <v>256</v>
      </c>
      <c r="C90" s="10"/>
      <c r="D90" s="11">
        <v>0.75</v>
      </c>
      <c r="O90" s="1">
        <f t="shared" si="8"/>
        <v>0</v>
      </c>
      <c r="P90" s="12">
        <f t="shared" si="7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EDAC-2FF2-EF4B-803F-7A292E04C42F}">
  <dimension ref="A1:R95"/>
  <sheetViews>
    <sheetView topLeftCell="C1" zoomScale="60" workbookViewId="0">
      <selection activeCell="J3" sqref="J3"/>
    </sheetView>
  </sheetViews>
  <sheetFormatPr baseColWidth="10" defaultRowHeight="16" x14ac:dyDescent="0.2"/>
  <cols>
    <col min="1" max="1" width="60.83203125" customWidth="1"/>
    <col min="2" max="2" width="63" customWidth="1"/>
    <col min="3" max="3" width="61.1640625" customWidth="1"/>
    <col min="4" max="4" width="45.6640625" customWidth="1"/>
    <col min="5" max="5" width="68.6640625" customWidth="1"/>
    <col min="6" max="6" width="56.33203125" customWidth="1"/>
    <col min="7" max="7" width="46.33203125" customWidth="1"/>
    <col min="8" max="8" width="57.33203125" customWidth="1"/>
    <col min="9" max="9" width="69" customWidth="1"/>
    <col min="10" max="10" width="48.6640625" customWidth="1"/>
    <col min="11" max="11" width="4.1640625" customWidth="1"/>
    <col min="12" max="12" width="4.6640625" customWidth="1"/>
    <col min="13" max="13" width="5.5" customWidth="1"/>
    <col min="14" max="14" width="5" customWidth="1"/>
    <col min="15" max="15" width="38" customWidth="1"/>
    <col min="16" max="16" width="56.33203125" customWidth="1"/>
    <col min="17" max="17" width="60.5" customWidth="1"/>
    <col min="18" max="18" width="70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224</v>
      </c>
      <c r="F1" s="4" t="s">
        <v>225</v>
      </c>
      <c r="G1" s="4" t="s">
        <v>238</v>
      </c>
      <c r="H1" s="4" t="s">
        <v>226</v>
      </c>
      <c r="I1" s="4" t="s">
        <v>227</v>
      </c>
      <c r="J1" s="4" t="s">
        <v>239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4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G4" s="1">
        <f>4*G3</f>
        <v>0</v>
      </c>
      <c r="J4" s="1">
        <f>4*J3</f>
        <v>0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2*G3</f>
        <v>0</v>
      </c>
      <c r="J5" s="1">
        <f>2*J3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E6" s="1">
        <f>4*E3</f>
        <v>0</v>
      </c>
      <c r="F6" s="1">
        <f>4*F3</f>
        <v>0</v>
      </c>
      <c r="H6" s="1">
        <f t="shared" ref="H6:I6" si="2">4*H3</f>
        <v>0</v>
      </c>
      <c r="I6" s="1">
        <f t="shared" si="2"/>
        <v>0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2*E3</f>
        <v>0</v>
      </c>
      <c r="F7" s="1">
        <f t="shared" ref="F7:I7" si="3">2*F3</f>
        <v>0</v>
      </c>
      <c r="H7" s="1">
        <f t="shared" si="3"/>
        <v>0</v>
      </c>
      <c r="I7" s="1">
        <f t="shared" si="3"/>
        <v>0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14*J3</f>
        <v>0</v>
      </c>
      <c r="O10" s="1">
        <f t="shared" si="1"/>
        <v>0</v>
      </c>
      <c r="P10" s="12">
        <f t="shared" si="0"/>
        <v>0</v>
      </c>
    </row>
    <row r="11" spans="1:18" s="1" customFormat="1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14*H3</f>
        <v>0</v>
      </c>
      <c r="I11" s="1">
        <f>14*I3</f>
        <v>0</v>
      </c>
      <c r="O11" s="1">
        <f t="shared" si="1"/>
        <v>0</v>
      </c>
      <c r="P11" s="12">
        <f t="shared" si="0"/>
        <v>0</v>
      </c>
    </row>
    <row r="12" spans="1:18" s="1" customFormat="1" ht="96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96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96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96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96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96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14*G3</f>
        <v>0</v>
      </c>
      <c r="O18" s="1">
        <f t="shared" si="1"/>
        <v>0</v>
      </c>
      <c r="P18" s="12">
        <f t="shared" si="0"/>
        <v>0</v>
      </c>
    </row>
    <row r="19" spans="1:16" s="1" customFormat="1" ht="96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14*E3</f>
        <v>0</v>
      </c>
      <c r="F20" s="1">
        <f>14*F3</f>
        <v>0</v>
      </c>
      <c r="O20" s="1">
        <f t="shared" si="1"/>
        <v>0</v>
      </c>
      <c r="P20" s="12">
        <f t="shared" si="0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96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96" x14ac:dyDescent="0.2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96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4">D36*O36</f>
        <v>0</v>
      </c>
    </row>
    <row r="37" spans="1:16" s="1" customFormat="1" ht="64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4"/>
        <v>0</v>
      </c>
    </row>
    <row r="38" spans="1:16" s="1" customFormat="1" ht="64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4"/>
        <v>0</v>
      </c>
    </row>
    <row r="39" spans="1:16" s="1" customFormat="1" ht="64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4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4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4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4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4"/>
        <v>0</v>
      </c>
    </row>
    <row r="44" spans="1:16" s="1" customFormat="1" ht="64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24*H3</f>
        <v>0</v>
      </c>
      <c r="I44" s="1">
        <f>24*I3</f>
        <v>0</v>
      </c>
      <c r="J44" s="1">
        <f>24*J3</f>
        <v>0</v>
      </c>
      <c r="O44" s="1">
        <f t="shared" si="1"/>
        <v>0</v>
      </c>
      <c r="P44" s="12">
        <f t="shared" si="4"/>
        <v>0</v>
      </c>
    </row>
    <row r="45" spans="1:16" s="1" customFormat="1" ht="64" x14ac:dyDescent="0.2">
      <c r="A45" s="9" t="s">
        <v>13</v>
      </c>
      <c r="B45" s="9" t="s">
        <v>60</v>
      </c>
      <c r="C45" s="10"/>
      <c r="D45" s="11">
        <v>0.73</v>
      </c>
      <c r="E45" s="1">
        <f>24*E3</f>
        <v>0</v>
      </c>
      <c r="F45" s="1">
        <f>24*F3</f>
        <v>0</v>
      </c>
      <c r="G45" s="1">
        <f>24*G3</f>
        <v>0</v>
      </c>
      <c r="O45" s="1">
        <f t="shared" si="1"/>
        <v>0</v>
      </c>
      <c r="P45" s="12">
        <f t="shared" si="4"/>
        <v>0</v>
      </c>
    </row>
    <row r="46" spans="1:16" s="1" customFormat="1" ht="64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4"/>
        <v>0</v>
      </c>
    </row>
    <row r="47" spans="1:16" s="1" customFormat="1" ht="64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4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4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4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4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4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O52" s="1">
        <f t="shared" si="1"/>
        <v>0</v>
      </c>
      <c r="P52" s="12">
        <f t="shared" si="4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E53" s="1">
        <f>2*E3</f>
        <v>0</v>
      </c>
      <c r="F53" s="1">
        <f>1*F3</f>
        <v>0</v>
      </c>
      <c r="G53" s="1">
        <f>2*G3</f>
        <v>0</v>
      </c>
      <c r="H53" s="1">
        <f>2*H3</f>
        <v>0</v>
      </c>
      <c r="I53" s="1">
        <f>1*I3</f>
        <v>0</v>
      </c>
      <c r="J53" s="1">
        <f>2*J3</f>
        <v>0</v>
      </c>
      <c r="O53" s="1">
        <f t="shared" si="1"/>
        <v>0</v>
      </c>
      <c r="P53" s="12">
        <f t="shared" si="4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4*H3</f>
        <v>0</v>
      </c>
      <c r="I54" s="1">
        <f>2*I3</f>
        <v>0</v>
      </c>
      <c r="J54" s="1">
        <f>4*J3</f>
        <v>0</v>
      </c>
      <c r="O54" s="1">
        <f t="shared" si="1"/>
        <v>0</v>
      </c>
      <c r="P54" s="12">
        <f t="shared" si="4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4*E3</f>
        <v>0</v>
      </c>
      <c r="F55" s="1">
        <f>2*F3</f>
        <v>0</v>
      </c>
      <c r="G55" s="1">
        <f>4*G3</f>
        <v>0</v>
      </c>
      <c r="O55" s="1">
        <f t="shared" si="1"/>
        <v>0</v>
      </c>
      <c r="P55" s="12">
        <f t="shared" si="4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4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>4*E3</f>
        <v>0</v>
      </c>
      <c r="F57" s="1">
        <f>2*F3</f>
        <v>0</v>
      </c>
      <c r="G57" s="1">
        <f>4*G3</f>
        <v>0</v>
      </c>
      <c r="H57" s="1">
        <f>4*H3</f>
        <v>0</v>
      </c>
      <c r="I57" s="1">
        <f>2*I3</f>
        <v>0</v>
      </c>
      <c r="J57" s="1">
        <f>4*J3</f>
        <v>0</v>
      </c>
      <c r="O57" s="1">
        <f t="shared" si="1"/>
        <v>0</v>
      </c>
      <c r="P57" s="12">
        <f t="shared" si="4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>4*E3</f>
        <v>0</v>
      </c>
      <c r="F58" s="1">
        <f>2*F3</f>
        <v>0</v>
      </c>
      <c r="G58" s="1">
        <f>4*G3</f>
        <v>0</v>
      </c>
      <c r="H58" s="1">
        <f>4*H3</f>
        <v>0</v>
      </c>
      <c r="I58" s="1">
        <f>2*I3</f>
        <v>0</v>
      </c>
      <c r="J58" s="1">
        <f>4*J3</f>
        <v>0</v>
      </c>
      <c r="O58" s="1">
        <f t="shared" si="1"/>
        <v>0</v>
      </c>
      <c r="P58" s="12">
        <f t="shared" si="4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4*E3</f>
        <v>0</v>
      </c>
      <c r="F59" s="1">
        <f>2*F3</f>
        <v>0</v>
      </c>
      <c r="G59" s="1">
        <f>4*G3</f>
        <v>0</v>
      </c>
      <c r="H59" s="1">
        <f>4*H3</f>
        <v>0</v>
      </c>
      <c r="I59" s="1">
        <f>2*I3</f>
        <v>0</v>
      </c>
      <c r="J59" s="1">
        <f>4*J3</f>
        <v>0</v>
      </c>
      <c r="O59" s="1">
        <f t="shared" si="1"/>
        <v>0</v>
      </c>
      <c r="P59" s="12">
        <f t="shared" si="4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>4*E3</f>
        <v>0</v>
      </c>
      <c r="F60" s="1">
        <f>2*F3</f>
        <v>0</v>
      </c>
      <c r="G60" s="1">
        <f>4*G3</f>
        <v>0</v>
      </c>
      <c r="H60" s="1">
        <f>4*H3</f>
        <v>0</v>
      </c>
      <c r="I60" s="1">
        <f>2*I3</f>
        <v>0</v>
      </c>
      <c r="J60" s="1">
        <f>4*J3</f>
        <v>0</v>
      </c>
      <c r="O60" s="1">
        <f t="shared" si="1"/>
        <v>0</v>
      </c>
      <c r="P60" s="12">
        <f t="shared" si="4"/>
        <v>0</v>
      </c>
    </row>
    <row r="61" spans="1:16" s="1" customFormat="1" ht="64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4"/>
        <v>0</v>
      </c>
    </row>
    <row r="62" spans="1:16" s="1" customFormat="1" ht="160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4"/>
        <v>0</v>
      </c>
    </row>
    <row r="63" spans="1:16" s="1" customFormat="1" ht="160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4"/>
        <v>0</v>
      </c>
    </row>
    <row r="64" spans="1:16" s="1" customFormat="1" ht="64" x14ac:dyDescent="0.2">
      <c r="A64" s="14" t="s">
        <v>29</v>
      </c>
      <c r="B64" s="14" t="s">
        <v>75</v>
      </c>
      <c r="C64" s="10"/>
      <c r="D64" s="11">
        <v>1.1399999999999999</v>
      </c>
      <c r="E64" s="1">
        <f>4*E3</f>
        <v>0</v>
      </c>
      <c r="F64" s="1">
        <f>2*F3</f>
        <v>0</v>
      </c>
      <c r="G64" s="1">
        <f>4*G3</f>
        <v>0</v>
      </c>
      <c r="H64" s="1">
        <f>4*H3</f>
        <v>0</v>
      </c>
      <c r="I64" s="1">
        <f>2*I3</f>
        <v>0</v>
      </c>
      <c r="J64" s="1">
        <f>4*J3</f>
        <v>0</v>
      </c>
      <c r="O64" s="1">
        <f t="shared" si="1"/>
        <v>0</v>
      </c>
      <c r="P64" s="12">
        <f t="shared" si="4"/>
        <v>0</v>
      </c>
    </row>
    <row r="65" spans="1:16" s="1" customFormat="1" ht="32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4"/>
        <v>0</v>
      </c>
    </row>
    <row r="66" spans="1:16" s="1" customFormat="1" ht="64" x14ac:dyDescent="0.2">
      <c r="A66" s="14" t="s">
        <v>31</v>
      </c>
      <c r="B66" s="14" t="s">
        <v>259</v>
      </c>
      <c r="C66" s="10"/>
      <c r="D66" s="11">
        <v>2.15</v>
      </c>
      <c r="O66" s="1">
        <f t="shared" si="1"/>
        <v>0</v>
      </c>
      <c r="P66" s="12">
        <f t="shared" si="4"/>
        <v>0</v>
      </c>
    </row>
    <row r="67" spans="1:16" s="1" customFormat="1" ht="64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4"/>
        <v>0</v>
      </c>
    </row>
    <row r="68" spans="1:16" s="1" customFormat="1" ht="64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5">D68*O68</f>
        <v>0</v>
      </c>
    </row>
    <row r="69" spans="1:16" s="1" customFormat="1" ht="64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0" si="6">SUM(E69:J69)</f>
        <v>0</v>
      </c>
      <c r="P69" s="12">
        <f t="shared" si="5"/>
        <v>0</v>
      </c>
    </row>
    <row r="70" spans="1:16" s="1" customFormat="1" ht="64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6"/>
        <v>0</v>
      </c>
      <c r="P70" s="12">
        <f t="shared" si="5"/>
        <v>0</v>
      </c>
    </row>
    <row r="71" spans="1:16" s="1" customFormat="1" ht="64" x14ac:dyDescent="0.2">
      <c r="A71" s="14" t="s">
        <v>178</v>
      </c>
      <c r="B71" s="14" t="s">
        <v>194</v>
      </c>
      <c r="C71" s="10"/>
      <c r="D71" s="11">
        <v>5.5579999999999998</v>
      </c>
      <c r="O71" s="1">
        <f t="shared" si="6"/>
        <v>0</v>
      </c>
      <c r="P71" s="12">
        <f t="shared" si="5"/>
        <v>0</v>
      </c>
    </row>
    <row r="72" spans="1:16" s="1" customFormat="1" ht="64" x14ac:dyDescent="0.2">
      <c r="A72" s="14" t="s">
        <v>179</v>
      </c>
      <c r="B72" s="14" t="s">
        <v>195</v>
      </c>
      <c r="C72" s="10"/>
      <c r="D72" s="11">
        <v>5.5579999999999998</v>
      </c>
      <c r="O72" s="1">
        <f t="shared" si="6"/>
        <v>0</v>
      </c>
      <c r="P72" s="12">
        <f t="shared" si="5"/>
        <v>0</v>
      </c>
    </row>
    <row r="73" spans="1:16" s="1" customFormat="1" ht="64" x14ac:dyDescent="0.2">
      <c r="A73" s="14" t="s">
        <v>34</v>
      </c>
      <c r="B73" s="14" t="s">
        <v>79</v>
      </c>
      <c r="C73" s="10"/>
      <c r="D73" s="11">
        <v>3.3879999999999999</v>
      </c>
      <c r="E73" s="1">
        <f>1*E3</f>
        <v>0</v>
      </c>
      <c r="G73" s="1">
        <f>1*G3</f>
        <v>0</v>
      </c>
      <c r="H73" s="1">
        <f>1*H3</f>
        <v>0</v>
      </c>
      <c r="J73" s="1">
        <f>1*J3</f>
        <v>0</v>
      </c>
      <c r="O73" s="1">
        <f t="shared" si="6"/>
        <v>0</v>
      </c>
      <c r="P73" s="12">
        <f t="shared" si="5"/>
        <v>0</v>
      </c>
    </row>
    <row r="74" spans="1:16" s="1" customFormat="1" ht="64" x14ac:dyDescent="0.2">
      <c r="A74" s="14" t="s">
        <v>35</v>
      </c>
      <c r="B74" s="14" t="s">
        <v>80</v>
      </c>
      <c r="C74" s="10"/>
      <c r="D74" s="11">
        <v>3.3879999999999999</v>
      </c>
      <c r="E74" s="1">
        <f>1*E3</f>
        <v>0</v>
      </c>
      <c r="G74" s="1">
        <f>1*G3</f>
        <v>0</v>
      </c>
      <c r="H74" s="1">
        <f>1*H3</f>
        <v>0</v>
      </c>
      <c r="J74" s="1">
        <f>1*J3</f>
        <v>0</v>
      </c>
      <c r="O74" s="1">
        <f t="shared" si="6"/>
        <v>0</v>
      </c>
      <c r="P74" s="12">
        <f t="shared" si="5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6"/>
        <v>0</v>
      </c>
      <c r="P75" s="12">
        <f t="shared" si="5"/>
        <v>0</v>
      </c>
    </row>
    <row r="76" spans="1:16" s="1" customFormat="1" ht="64" x14ac:dyDescent="0.2">
      <c r="A76" s="14" t="s">
        <v>37</v>
      </c>
      <c r="B76" s="14" t="s">
        <v>82</v>
      </c>
      <c r="C76" s="10"/>
      <c r="D76" s="11">
        <v>2.702</v>
      </c>
      <c r="O76" s="1">
        <f t="shared" si="6"/>
        <v>0</v>
      </c>
      <c r="P76" s="12">
        <f t="shared" si="5"/>
        <v>0</v>
      </c>
    </row>
    <row r="77" spans="1:16" s="1" customFormat="1" ht="64" x14ac:dyDescent="0.2">
      <c r="A77" s="14" t="s">
        <v>38</v>
      </c>
      <c r="B77" s="14" t="s">
        <v>83</v>
      </c>
      <c r="C77" s="10"/>
      <c r="D77" s="11">
        <v>0.68599999999999994</v>
      </c>
      <c r="H77" s="1">
        <f>2*H3</f>
        <v>0</v>
      </c>
      <c r="J77" s="1">
        <f t="shared" ref="J77" si="7">2*J3</f>
        <v>0</v>
      </c>
      <c r="O77" s="1">
        <f t="shared" si="6"/>
        <v>0</v>
      </c>
      <c r="P77" s="12">
        <f t="shared" si="5"/>
        <v>0</v>
      </c>
    </row>
    <row r="78" spans="1:16" s="1" customFormat="1" ht="64" x14ac:dyDescent="0.2">
      <c r="A78" s="14" t="s">
        <v>39</v>
      </c>
      <c r="B78" s="14" t="s">
        <v>84</v>
      </c>
      <c r="C78" s="10"/>
      <c r="D78" s="11">
        <v>0.68599999999999994</v>
      </c>
      <c r="H78" s="1">
        <f>2*H3</f>
        <v>0</v>
      </c>
      <c r="J78" s="1">
        <f t="shared" ref="J78" si="8">2*J3</f>
        <v>0</v>
      </c>
      <c r="O78" s="1">
        <f t="shared" si="6"/>
        <v>0</v>
      </c>
      <c r="P78" s="12">
        <f t="shared" si="5"/>
        <v>0</v>
      </c>
    </row>
    <row r="79" spans="1:16" s="1" customFormat="1" ht="64" x14ac:dyDescent="0.2">
      <c r="A79" s="14" t="s">
        <v>40</v>
      </c>
      <c r="B79" s="14" t="s">
        <v>85</v>
      </c>
      <c r="C79" s="10"/>
      <c r="D79" s="11">
        <v>0.98</v>
      </c>
      <c r="E79" s="1">
        <f>2*E3</f>
        <v>0</v>
      </c>
      <c r="G79" s="1">
        <f t="shared" ref="G79" si="9">2*G3</f>
        <v>0</v>
      </c>
      <c r="O79" s="1">
        <f t="shared" si="6"/>
        <v>0</v>
      </c>
      <c r="P79" s="12">
        <f t="shared" si="5"/>
        <v>0</v>
      </c>
    </row>
    <row r="80" spans="1:16" s="1" customFormat="1" ht="64" x14ac:dyDescent="0.2">
      <c r="A80" s="14" t="s">
        <v>41</v>
      </c>
      <c r="B80" s="15" t="s">
        <v>254</v>
      </c>
      <c r="C80" s="16"/>
      <c r="D80" s="11">
        <v>0.98</v>
      </c>
      <c r="E80" s="1">
        <f>2*E3</f>
        <v>0</v>
      </c>
      <c r="G80" s="1">
        <f t="shared" ref="G80" si="10">2*G3</f>
        <v>0</v>
      </c>
      <c r="O80" s="1">
        <f t="shared" si="6"/>
        <v>0</v>
      </c>
      <c r="P80" s="12">
        <f t="shared" si="5"/>
        <v>0</v>
      </c>
    </row>
    <row r="81" spans="1:16" s="1" customFormat="1" ht="64" x14ac:dyDescent="0.2">
      <c r="A81" s="14" t="s">
        <v>136</v>
      </c>
      <c r="B81" s="14" t="s">
        <v>132</v>
      </c>
      <c r="C81" s="10"/>
      <c r="D81" s="11">
        <v>0.98</v>
      </c>
      <c r="O81" s="1">
        <f t="shared" si="6"/>
        <v>0</v>
      </c>
      <c r="P81" s="12">
        <f t="shared" si="5"/>
        <v>0</v>
      </c>
    </row>
    <row r="82" spans="1:16" s="1" customFormat="1" ht="64" x14ac:dyDescent="0.2">
      <c r="A82" s="14" t="s">
        <v>137</v>
      </c>
      <c r="B82" s="15" t="s">
        <v>255</v>
      </c>
      <c r="C82" s="16"/>
      <c r="D82" s="11">
        <v>0.98</v>
      </c>
      <c r="O82" s="1">
        <f t="shared" si="6"/>
        <v>0</v>
      </c>
      <c r="P82" s="12">
        <f t="shared" si="5"/>
        <v>0</v>
      </c>
    </row>
    <row r="83" spans="1:16" s="1" customFormat="1" ht="128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6"/>
        <v>0</v>
      </c>
      <c r="P83" s="12">
        <f t="shared" si="5"/>
        <v>0</v>
      </c>
    </row>
    <row r="84" spans="1:16" s="1" customFormat="1" ht="256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6"/>
        <v>0</v>
      </c>
      <c r="P84" s="12">
        <f t="shared" si="5"/>
        <v>0</v>
      </c>
    </row>
    <row r="85" spans="1:16" s="1" customFormat="1" ht="256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6"/>
        <v>0</v>
      </c>
      <c r="P85" s="12">
        <f t="shared" si="5"/>
        <v>0</v>
      </c>
    </row>
    <row r="86" spans="1:16" s="1" customFormat="1" ht="256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6"/>
        <v>0</v>
      </c>
      <c r="P86" s="12">
        <f t="shared" si="5"/>
        <v>0</v>
      </c>
    </row>
    <row r="87" spans="1:16" s="1" customFormat="1" ht="128" x14ac:dyDescent="0.2">
      <c r="A87" s="14" t="s">
        <v>180</v>
      </c>
      <c r="B87" s="10" t="s">
        <v>181</v>
      </c>
      <c r="C87" s="10"/>
      <c r="D87" s="11">
        <v>0.75</v>
      </c>
      <c r="O87" s="1">
        <f t="shared" si="6"/>
        <v>0</v>
      </c>
      <c r="P87" s="12">
        <f t="shared" si="5"/>
        <v>0</v>
      </c>
    </row>
    <row r="88" spans="1:16" s="1" customFormat="1" ht="128" x14ac:dyDescent="0.2">
      <c r="A88" s="14" t="s">
        <v>182</v>
      </c>
      <c r="B88" s="10" t="s">
        <v>183</v>
      </c>
      <c r="C88" s="10"/>
      <c r="D88" s="11">
        <v>0.75</v>
      </c>
      <c r="O88" s="1">
        <f t="shared" si="6"/>
        <v>0</v>
      </c>
      <c r="P88" s="12">
        <f t="shared" si="5"/>
        <v>0</v>
      </c>
    </row>
    <row r="89" spans="1:16" s="1" customFormat="1" ht="128" x14ac:dyDescent="0.2">
      <c r="A89" s="14" t="s">
        <v>184</v>
      </c>
      <c r="B89" s="10" t="s">
        <v>185</v>
      </c>
      <c r="C89" s="10"/>
      <c r="D89" s="11">
        <v>0.75</v>
      </c>
      <c r="O89" s="1">
        <f t="shared" si="6"/>
        <v>0</v>
      </c>
      <c r="P89" s="12">
        <f t="shared" si="5"/>
        <v>0</v>
      </c>
    </row>
    <row r="90" spans="1:16" s="1" customFormat="1" ht="96" x14ac:dyDescent="0.2">
      <c r="A90" s="14" t="s">
        <v>186</v>
      </c>
      <c r="B90" s="14" t="s">
        <v>256</v>
      </c>
      <c r="C90" s="10"/>
      <c r="D90" s="11">
        <v>0.75</v>
      </c>
      <c r="O90" s="1">
        <f t="shared" si="6"/>
        <v>0</v>
      </c>
      <c r="P90" s="12">
        <f t="shared" si="5"/>
        <v>0</v>
      </c>
    </row>
    <row r="91" spans="1:16" s="1" customFormat="1" ht="56" customHeight="1" x14ac:dyDescent="0.2">
      <c r="G91"/>
      <c r="J91"/>
      <c r="K91"/>
      <c r="L91"/>
      <c r="M91"/>
      <c r="N91"/>
    </row>
    <row r="92" spans="1:16" s="24" customFormat="1" ht="53" customHeight="1" x14ac:dyDescent="0.2">
      <c r="O92" s="24" t="s">
        <v>114</v>
      </c>
      <c r="P92" s="63">
        <f>SUM(P4:P90)</f>
        <v>0</v>
      </c>
    </row>
    <row r="93" spans="1:16" s="1" customFormat="1" ht="31" x14ac:dyDescent="0.2">
      <c r="G93"/>
      <c r="J93"/>
      <c r="K93"/>
      <c r="L93"/>
      <c r="M93"/>
      <c r="N93"/>
    </row>
    <row r="94" spans="1:16" s="1" customFormat="1" ht="31" x14ac:dyDescent="0.2">
      <c r="G94"/>
      <c r="J94"/>
      <c r="K94"/>
      <c r="L94"/>
      <c r="M94"/>
      <c r="N94"/>
    </row>
    <row r="95" spans="1:16" s="1" customFormat="1" ht="31" x14ac:dyDescent="0.2">
      <c r="G95"/>
      <c r="J95"/>
      <c r="K95"/>
      <c r="L95"/>
      <c r="M95"/>
      <c r="N9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8147-8F0C-D841-814E-87CCE9498335}">
  <dimension ref="A1:R92"/>
  <sheetViews>
    <sheetView topLeftCell="D1" zoomScale="64" workbookViewId="0">
      <selection activeCell="K3" sqref="K3"/>
    </sheetView>
  </sheetViews>
  <sheetFormatPr baseColWidth="10" defaultRowHeight="16" x14ac:dyDescent="0.2"/>
  <cols>
    <col min="1" max="2" width="58.33203125" customWidth="1"/>
    <col min="3" max="3" width="55.33203125" customWidth="1"/>
    <col min="4" max="4" width="60.5" customWidth="1"/>
    <col min="5" max="5" width="48" customWidth="1"/>
    <col min="6" max="6" width="73.83203125" customWidth="1"/>
    <col min="7" max="7" width="46.33203125" customWidth="1"/>
    <col min="8" max="8" width="71.5" customWidth="1"/>
    <col min="9" max="9" width="63.5" customWidth="1"/>
    <col min="10" max="10" width="67" customWidth="1"/>
    <col min="11" max="11" width="6.5" customWidth="1"/>
    <col min="12" max="12" width="4.6640625" customWidth="1"/>
    <col min="13" max="13" width="7.5" customWidth="1"/>
    <col min="14" max="14" width="5.33203125" customWidth="1"/>
    <col min="15" max="15" width="34.83203125" customWidth="1"/>
    <col min="16" max="16" width="26.5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228</v>
      </c>
      <c r="F1" s="4" t="s">
        <v>229</v>
      </c>
      <c r="G1" s="4" t="s">
        <v>240</v>
      </c>
      <c r="H1" s="4" t="s">
        <v>230</v>
      </c>
      <c r="I1" s="4" t="s">
        <v>231</v>
      </c>
      <c r="J1" s="4" t="s">
        <v>241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93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6*G3</f>
        <v>0</v>
      </c>
      <c r="J5" s="1">
        <f>6*J3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6*E3</f>
        <v>0</v>
      </c>
      <c r="F7" s="1">
        <f t="shared" ref="F7:I7" si="2">6*F3</f>
        <v>0</v>
      </c>
      <c r="H7" s="1">
        <f t="shared" si="2"/>
        <v>0</v>
      </c>
      <c r="I7" s="1">
        <f t="shared" si="2"/>
        <v>0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>
        <f t="shared" si="1"/>
        <v>0</v>
      </c>
      <c r="P9" s="12">
        <f t="shared" si="0"/>
        <v>0</v>
      </c>
    </row>
    <row r="10" spans="1:18" s="1" customFormat="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16*J3</f>
        <v>0</v>
      </c>
      <c r="O10" s="1">
        <f t="shared" si="1"/>
        <v>0</v>
      </c>
      <c r="P10" s="12">
        <f t="shared" si="0"/>
        <v>0</v>
      </c>
    </row>
    <row r="11" spans="1:18" s="1" customFormat="1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16*H3</f>
        <v>0</v>
      </c>
      <c r="I11" s="1">
        <f>16*I3</f>
        <v>0</v>
      </c>
      <c r="O11" s="1">
        <f t="shared" si="1"/>
        <v>0</v>
      </c>
      <c r="P11" s="12">
        <f t="shared" si="0"/>
        <v>0</v>
      </c>
    </row>
    <row r="12" spans="1:18" s="1" customFormat="1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128" x14ac:dyDescent="0.2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16*G3</f>
        <v>0</v>
      </c>
      <c r="O18" s="1">
        <f t="shared" si="1"/>
        <v>0</v>
      </c>
      <c r="P18" s="12">
        <f t="shared" si="0"/>
        <v>0</v>
      </c>
    </row>
    <row r="19" spans="1:16" s="1" customFormat="1" ht="96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16*E3</f>
        <v>0</v>
      </c>
      <c r="F20" s="1">
        <f>16*F3</f>
        <v>0</v>
      </c>
      <c r="O20" s="1">
        <f t="shared" si="1"/>
        <v>0</v>
      </c>
      <c r="P20" s="12">
        <f t="shared" si="0"/>
        <v>0</v>
      </c>
    </row>
    <row r="21" spans="1:16" s="1" customFormat="1" ht="128" x14ac:dyDescent="0.2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64" x14ac:dyDescent="0.2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64" x14ac:dyDescent="0.2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2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2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2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96" x14ac:dyDescent="0.2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96" x14ac:dyDescent="0.2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96" x14ac:dyDescent="0.2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3">D36*O36</f>
        <v>0</v>
      </c>
    </row>
    <row r="37" spans="1:16" s="1" customFormat="1" ht="96" x14ac:dyDescent="0.2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3"/>
        <v>0</v>
      </c>
    </row>
    <row r="38" spans="1:16" s="1" customFormat="1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3"/>
        <v>0</v>
      </c>
    </row>
    <row r="39" spans="1:16" s="1" customFormat="1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3"/>
        <v>0</v>
      </c>
    </row>
    <row r="40" spans="1:16" s="1" customFormat="1" ht="64" x14ac:dyDescent="0.2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3"/>
        <v>0</v>
      </c>
    </row>
    <row r="41" spans="1:16" s="1" customFormat="1" ht="96" x14ac:dyDescent="0.2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3"/>
        <v>0</v>
      </c>
    </row>
    <row r="42" spans="1:16" s="1" customFormat="1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3"/>
        <v>0</v>
      </c>
    </row>
    <row r="43" spans="1:16" s="1" customFormat="1" ht="64" x14ac:dyDescent="0.2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3"/>
        <v>0</v>
      </c>
    </row>
    <row r="44" spans="1:16" s="1" customFormat="1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28*H3</f>
        <v>0</v>
      </c>
      <c r="I44" s="1">
        <f>28*I3</f>
        <v>0</v>
      </c>
      <c r="J44" s="1">
        <f>28*J3</f>
        <v>0</v>
      </c>
      <c r="O44" s="1">
        <f t="shared" si="1"/>
        <v>0</v>
      </c>
      <c r="P44" s="12">
        <f t="shared" si="3"/>
        <v>0</v>
      </c>
    </row>
    <row r="45" spans="1:16" s="1" customFormat="1" ht="96" x14ac:dyDescent="0.2">
      <c r="A45" s="9" t="s">
        <v>13</v>
      </c>
      <c r="B45" s="9" t="s">
        <v>60</v>
      </c>
      <c r="C45" s="10"/>
      <c r="D45" s="11">
        <v>0.73</v>
      </c>
      <c r="E45" s="1">
        <f>28*E3</f>
        <v>0</v>
      </c>
      <c r="F45" s="1">
        <f>28*F3</f>
        <v>0</v>
      </c>
      <c r="G45" s="1">
        <f>28*G3</f>
        <v>0</v>
      </c>
      <c r="O45" s="1">
        <f t="shared" si="1"/>
        <v>0</v>
      </c>
      <c r="P45" s="12">
        <f t="shared" si="3"/>
        <v>0</v>
      </c>
    </row>
    <row r="46" spans="1:16" s="1" customFormat="1" ht="96" x14ac:dyDescent="0.2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3"/>
        <v>0</v>
      </c>
    </row>
    <row r="47" spans="1:16" s="1" customFormat="1" ht="64" x14ac:dyDescent="0.2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3"/>
        <v>0</v>
      </c>
    </row>
    <row r="48" spans="1:16" s="1" customFormat="1" ht="64" x14ac:dyDescent="0.2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3"/>
        <v>0</v>
      </c>
    </row>
    <row r="49" spans="1:16" s="1" customFormat="1" ht="64" x14ac:dyDescent="0.2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3"/>
        <v>0</v>
      </c>
    </row>
    <row r="50" spans="1:16" s="1" customFormat="1" ht="32" x14ac:dyDescent="0.2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3"/>
        <v>0</v>
      </c>
    </row>
    <row r="51" spans="1:16" s="1" customFormat="1" ht="32" x14ac:dyDescent="0.2">
      <c r="A51" s="14" t="s">
        <v>174</v>
      </c>
      <c r="B51" s="48" t="s">
        <v>190</v>
      </c>
      <c r="C51" s="10"/>
      <c r="D51" s="11">
        <v>8.6295999999999999</v>
      </c>
      <c r="O51" s="1">
        <f t="shared" si="1"/>
        <v>0</v>
      </c>
      <c r="P51" s="12">
        <f t="shared" si="3"/>
        <v>0</v>
      </c>
    </row>
    <row r="52" spans="1:16" s="1" customFormat="1" ht="32" x14ac:dyDescent="0.2">
      <c r="A52" s="14" t="s">
        <v>175</v>
      </c>
      <c r="B52" s="48" t="s">
        <v>191</v>
      </c>
      <c r="C52" s="10"/>
      <c r="D52" s="11">
        <v>6.78</v>
      </c>
      <c r="E52" s="1">
        <f>2*E3</f>
        <v>0</v>
      </c>
      <c r="F52" s="1">
        <f>1*F3</f>
        <v>0</v>
      </c>
      <c r="G52" s="1">
        <f>2*G3</f>
        <v>0</v>
      </c>
      <c r="H52" s="1">
        <f>2*H3</f>
        <v>0</v>
      </c>
      <c r="I52" s="1">
        <f>1*I3</f>
        <v>0</v>
      </c>
      <c r="J52" s="1">
        <f>2*J3</f>
        <v>0</v>
      </c>
      <c r="O52" s="1">
        <f t="shared" si="1"/>
        <v>0</v>
      </c>
      <c r="P52" s="12">
        <f t="shared" si="3"/>
        <v>0</v>
      </c>
    </row>
    <row r="53" spans="1:16" s="1" customFormat="1" ht="32" x14ac:dyDescent="0.2">
      <c r="A53" s="14" t="s">
        <v>18</v>
      </c>
      <c r="B53" s="14" t="s">
        <v>65</v>
      </c>
      <c r="C53" s="10"/>
      <c r="D53" s="11">
        <v>6.78</v>
      </c>
      <c r="O53" s="1">
        <f t="shared" si="1"/>
        <v>0</v>
      </c>
      <c r="P53" s="12">
        <f t="shared" si="3"/>
        <v>0</v>
      </c>
    </row>
    <row r="54" spans="1:16" s="1" customFormat="1" ht="32" x14ac:dyDescent="0.2">
      <c r="A54" s="14" t="s">
        <v>19</v>
      </c>
      <c r="B54" s="14" t="s">
        <v>66</v>
      </c>
      <c r="C54" s="10"/>
      <c r="D54" s="11">
        <v>2.6661599999999996</v>
      </c>
      <c r="H54" s="1">
        <f>4*H3</f>
        <v>0</v>
      </c>
      <c r="I54" s="1">
        <f>2*I3</f>
        <v>0</v>
      </c>
      <c r="J54" s="1">
        <f>4*J3</f>
        <v>0</v>
      </c>
      <c r="O54" s="1">
        <f t="shared" si="1"/>
        <v>0</v>
      </c>
      <c r="P54" s="12">
        <f t="shared" si="3"/>
        <v>0</v>
      </c>
    </row>
    <row r="55" spans="1:16" s="1" customFormat="1" ht="32" x14ac:dyDescent="0.2">
      <c r="A55" s="14" t="s">
        <v>20</v>
      </c>
      <c r="B55" s="14" t="s">
        <v>67</v>
      </c>
      <c r="C55" s="10"/>
      <c r="D55" s="11">
        <v>3.4389599999999998</v>
      </c>
      <c r="E55" s="1">
        <f>4*E3</f>
        <v>0</v>
      </c>
      <c r="F55" s="1">
        <f>2*F3</f>
        <v>0</v>
      </c>
      <c r="G55" s="1">
        <f>4*G3</f>
        <v>0</v>
      </c>
      <c r="O55" s="1">
        <f t="shared" si="1"/>
        <v>0</v>
      </c>
      <c r="P55" s="12">
        <f t="shared" si="3"/>
        <v>0</v>
      </c>
    </row>
    <row r="56" spans="1:16" s="1" customFormat="1" ht="32" x14ac:dyDescent="0.2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3"/>
        <v>0</v>
      </c>
    </row>
    <row r="57" spans="1:16" s="1" customFormat="1" ht="64" x14ac:dyDescent="0.2">
      <c r="A57" s="14" t="s">
        <v>22</v>
      </c>
      <c r="B57" s="14" t="s">
        <v>70</v>
      </c>
      <c r="C57" s="10"/>
      <c r="D57" s="11">
        <v>0.15512465373961221</v>
      </c>
      <c r="E57" s="1">
        <f>4*E3</f>
        <v>0</v>
      </c>
      <c r="F57" s="1">
        <f>2*F3</f>
        <v>0</v>
      </c>
      <c r="G57" s="1">
        <f>4*G3</f>
        <v>0</v>
      </c>
      <c r="H57" s="1">
        <f>4*H3</f>
        <v>0</v>
      </c>
      <c r="I57" s="1">
        <f>2*I3</f>
        <v>0</v>
      </c>
      <c r="J57" s="1">
        <f>4*J3</f>
        <v>0</v>
      </c>
      <c r="O57" s="1">
        <f t="shared" si="1"/>
        <v>0</v>
      </c>
      <c r="P57" s="12">
        <f t="shared" si="3"/>
        <v>0</v>
      </c>
    </row>
    <row r="58" spans="1:16" s="1" customFormat="1" ht="64" x14ac:dyDescent="0.2">
      <c r="A58" s="14" t="s">
        <v>23</v>
      </c>
      <c r="B58" s="14" t="s">
        <v>69</v>
      </c>
      <c r="C58" s="10"/>
      <c r="D58" s="11">
        <v>0.27922437673130196</v>
      </c>
      <c r="E58" s="1">
        <f>4*E3</f>
        <v>0</v>
      </c>
      <c r="F58" s="1">
        <f>2*F3</f>
        <v>0</v>
      </c>
      <c r="G58" s="1">
        <f>4*G3</f>
        <v>0</v>
      </c>
      <c r="H58" s="1">
        <f>4*H3</f>
        <v>0</v>
      </c>
      <c r="I58" s="1">
        <f>2*I3</f>
        <v>0</v>
      </c>
      <c r="J58" s="1">
        <f>4*J3</f>
        <v>0</v>
      </c>
      <c r="O58" s="1">
        <f t="shared" si="1"/>
        <v>0</v>
      </c>
      <c r="P58" s="12">
        <f t="shared" si="3"/>
        <v>0</v>
      </c>
    </row>
    <row r="59" spans="1:16" s="1" customFormat="1" ht="64" x14ac:dyDescent="0.2">
      <c r="A59" s="14" t="s">
        <v>24</v>
      </c>
      <c r="B59" s="14" t="s">
        <v>68</v>
      </c>
      <c r="C59" s="10"/>
      <c r="D59" s="11">
        <v>0.12409972299168978</v>
      </c>
      <c r="E59" s="1">
        <f>4*E3</f>
        <v>0</v>
      </c>
      <c r="F59" s="1">
        <f>2*F3</f>
        <v>0</v>
      </c>
      <c r="G59" s="1">
        <f>4*G3</f>
        <v>0</v>
      </c>
      <c r="H59" s="1">
        <f>4*H3</f>
        <v>0</v>
      </c>
      <c r="I59" s="1">
        <f>2*I3</f>
        <v>0</v>
      </c>
      <c r="J59" s="1">
        <f>4*J3</f>
        <v>0</v>
      </c>
      <c r="O59" s="1">
        <f t="shared" si="1"/>
        <v>0</v>
      </c>
      <c r="P59" s="12">
        <f t="shared" si="3"/>
        <v>0</v>
      </c>
    </row>
    <row r="60" spans="1:16" s="1" customFormat="1" ht="64" x14ac:dyDescent="0.2">
      <c r="A60" s="14" t="s">
        <v>25</v>
      </c>
      <c r="B60" s="14" t="s">
        <v>71</v>
      </c>
      <c r="C60" s="10"/>
      <c r="D60" s="11">
        <v>3.1024930747922445E-2</v>
      </c>
      <c r="E60" s="1">
        <f>4*E3</f>
        <v>0</v>
      </c>
      <c r="F60" s="1">
        <f>2*F3</f>
        <v>0</v>
      </c>
      <c r="G60" s="1">
        <f>4*G3</f>
        <v>0</v>
      </c>
      <c r="H60" s="1">
        <f>4*H3</f>
        <v>0</v>
      </c>
      <c r="I60" s="1">
        <f>2*I3</f>
        <v>0</v>
      </c>
      <c r="J60" s="1">
        <f>4*J3</f>
        <v>0</v>
      </c>
      <c r="O60" s="1">
        <f t="shared" si="1"/>
        <v>0</v>
      </c>
      <c r="P60" s="12">
        <f t="shared" si="3"/>
        <v>0</v>
      </c>
    </row>
    <row r="61" spans="1:16" s="1" customFormat="1" ht="64" x14ac:dyDescent="0.2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3"/>
        <v>0</v>
      </c>
    </row>
    <row r="62" spans="1:16" s="1" customFormat="1" ht="160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3"/>
        <v>0</v>
      </c>
    </row>
    <row r="63" spans="1:16" s="1" customFormat="1" ht="160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3"/>
        <v>0</v>
      </c>
    </row>
    <row r="64" spans="1:16" s="1" customFormat="1" ht="64" x14ac:dyDescent="0.2">
      <c r="A64" s="14" t="s">
        <v>29</v>
      </c>
      <c r="B64" s="14" t="s">
        <v>75</v>
      </c>
      <c r="C64" s="10"/>
      <c r="D64" s="11">
        <v>1.1399999999999999</v>
      </c>
      <c r="E64" s="1">
        <f>4*E3</f>
        <v>0</v>
      </c>
      <c r="F64" s="1">
        <f>2*F3</f>
        <v>0</v>
      </c>
      <c r="G64" s="1">
        <f>4*G3</f>
        <v>0</v>
      </c>
      <c r="H64" s="1">
        <f>4*H3</f>
        <v>0</v>
      </c>
      <c r="I64" s="1">
        <f>2*I3</f>
        <v>0</v>
      </c>
      <c r="J64" s="1">
        <f>4*J3</f>
        <v>0</v>
      </c>
      <c r="O64" s="1">
        <f t="shared" si="1"/>
        <v>0</v>
      </c>
      <c r="P64" s="12">
        <f t="shared" si="3"/>
        <v>0</v>
      </c>
    </row>
    <row r="65" spans="1:16" s="1" customFormat="1" ht="32" x14ac:dyDescent="0.2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3"/>
        <v>0</v>
      </c>
    </row>
    <row r="66" spans="1:16" s="1" customFormat="1" ht="64" x14ac:dyDescent="0.2">
      <c r="A66" s="14" t="s">
        <v>31</v>
      </c>
      <c r="B66" s="14" t="s">
        <v>259</v>
      </c>
      <c r="C66" s="10"/>
      <c r="D66" s="11">
        <v>2.15</v>
      </c>
      <c r="O66" s="1">
        <f t="shared" si="1"/>
        <v>0</v>
      </c>
      <c r="P66" s="12">
        <f t="shared" si="3"/>
        <v>0</v>
      </c>
    </row>
    <row r="67" spans="1:16" s="1" customFormat="1" ht="64" x14ac:dyDescent="0.2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3"/>
        <v>0</v>
      </c>
    </row>
    <row r="68" spans="1:16" s="1" customFormat="1" ht="64" x14ac:dyDescent="0.2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4">D68*O68</f>
        <v>0</v>
      </c>
    </row>
    <row r="69" spans="1:16" s="1" customFormat="1" ht="64" x14ac:dyDescent="0.2">
      <c r="A69" s="14" t="s">
        <v>176</v>
      </c>
      <c r="B69" s="14" t="s">
        <v>192</v>
      </c>
      <c r="C69" s="10"/>
      <c r="D69" s="11">
        <v>5.5579999999999998</v>
      </c>
      <c r="O69" s="1">
        <f t="shared" ref="O69:O91" si="5">SUM(E69:J69)</f>
        <v>0</v>
      </c>
      <c r="P69" s="12">
        <f t="shared" si="4"/>
        <v>0</v>
      </c>
    </row>
    <row r="70" spans="1:16" s="1" customFormat="1" ht="64" x14ac:dyDescent="0.2">
      <c r="A70" s="14" t="s">
        <v>177</v>
      </c>
      <c r="B70" s="14" t="s">
        <v>193</v>
      </c>
      <c r="C70" s="10"/>
      <c r="D70" s="11">
        <v>5.5579999999999998</v>
      </c>
      <c r="O70" s="1">
        <f t="shared" si="5"/>
        <v>0</v>
      </c>
      <c r="P70" s="12">
        <f t="shared" si="4"/>
        <v>0</v>
      </c>
    </row>
    <row r="71" spans="1:16" s="1" customFormat="1" ht="64" x14ac:dyDescent="0.2">
      <c r="A71" s="14" t="s">
        <v>178</v>
      </c>
      <c r="B71" s="14" t="s">
        <v>194</v>
      </c>
      <c r="C71" s="10"/>
      <c r="D71" s="11">
        <v>5.5579999999999998</v>
      </c>
      <c r="E71" s="1">
        <f>1*E3</f>
        <v>0</v>
      </c>
      <c r="G71" s="1">
        <f>1*G3</f>
        <v>0</v>
      </c>
      <c r="H71" s="1">
        <f>1*H3</f>
        <v>0</v>
      </c>
      <c r="J71" s="1">
        <f>1*J3</f>
        <v>0</v>
      </c>
      <c r="O71" s="1">
        <f t="shared" si="5"/>
        <v>0</v>
      </c>
      <c r="P71" s="12">
        <f t="shared" si="4"/>
        <v>0</v>
      </c>
    </row>
    <row r="72" spans="1:16" s="1" customFormat="1" ht="64" x14ac:dyDescent="0.2">
      <c r="A72" s="14" t="s">
        <v>179</v>
      </c>
      <c r="B72" s="14" t="s">
        <v>195</v>
      </c>
      <c r="C72" s="10"/>
      <c r="D72" s="11">
        <v>5.5579999999999998</v>
      </c>
      <c r="E72" s="1">
        <f>1*E3</f>
        <v>0</v>
      </c>
      <c r="G72" s="1">
        <f>1*G3</f>
        <v>0</v>
      </c>
      <c r="H72" s="1">
        <f>1*H3</f>
        <v>0</v>
      </c>
      <c r="J72" s="1">
        <f>1*J3</f>
        <v>0</v>
      </c>
      <c r="O72" s="1">
        <f t="shared" si="5"/>
        <v>0</v>
      </c>
      <c r="P72" s="12">
        <f t="shared" si="4"/>
        <v>0</v>
      </c>
    </row>
    <row r="73" spans="1:16" s="1" customFormat="1" ht="64" x14ac:dyDescent="0.2">
      <c r="A73" s="14" t="s">
        <v>34</v>
      </c>
      <c r="B73" s="14" t="s">
        <v>79</v>
      </c>
      <c r="C73" s="10"/>
      <c r="D73" s="11">
        <v>3.3879999999999999</v>
      </c>
      <c r="O73" s="1">
        <f t="shared" si="5"/>
        <v>0</v>
      </c>
      <c r="P73" s="12">
        <f t="shared" si="4"/>
        <v>0</v>
      </c>
    </row>
    <row r="74" spans="1:16" s="1" customFormat="1" ht="64" x14ac:dyDescent="0.2">
      <c r="A74" s="14" t="s">
        <v>35</v>
      </c>
      <c r="B74" s="14" t="s">
        <v>80</v>
      </c>
      <c r="C74" s="10"/>
      <c r="D74" s="11">
        <v>3.3879999999999999</v>
      </c>
      <c r="O74" s="1">
        <f t="shared" si="5"/>
        <v>0</v>
      </c>
      <c r="P74" s="12">
        <f t="shared" si="4"/>
        <v>0</v>
      </c>
    </row>
    <row r="75" spans="1:16" s="1" customFormat="1" ht="64" x14ac:dyDescent="0.2">
      <c r="A75" s="14" t="s">
        <v>36</v>
      </c>
      <c r="B75" s="14" t="s">
        <v>81</v>
      </c>
      <c r="C75" s="10"/>
      <c r="D75" s="11">
        <v>2.1280000000000001</v>
      </c>
      <c r="O75" s="1">
        <f t="shared" si="5"/>
        <v>0</v>
      </c>
      <c r="P75" s="12">
        <f t="shared" si="4"/>
        <v>0</v>
      </c>
    </row>
    <row r="76" spans="1:16" s="1" customFormat="1" ht="64" x14ac:dyDescent="0.2">
      <c r="A76" s="14" t="s">
        <v>37</v>
      </c>
      <c r="B76" s="14" t="s">
        <v>82</v>
      </c>
      <c r="C76" s="10"/>
      <c r="D76" s="11">
        <v>2.702</v>
      </c>
      <c r="O76" s="1">
        <f t="shared" si="5"/>
        <v>0</v>
      </c>
      <c r="P76" s="12">
        <f t="shared" si="4"/>
        <v>0</v>
      </c>
    </row>
    <row r="77" spans="1:16" s="1" customFormat="1" ht="64" x14ac:dyDescent="0.2">
      <c r="A77" s="14" t="s">
        <v>38</v>
      </c>
      <c r="B77" s="14" t="s">
        <v>83</v>
      </c>
      <c r="C77" s="10"/>
      <c r="D77" s="11">
        <v>0.68599999999999994</v>
      </c>
      <c r="H77" s="1">
        <f>2*H3</f>
        <v>0</v>
      </c>
      <c r="J77" s="1">
        <f t="shared" ref="J77" si="6">2*J3</f>
        <v>0</v>
      </c>
      <c r="O77" s="1">
        <f t="shared" si="5"/>
        <v>0</v>
      </c>
      <c r="P77" s="12">
        <f t="shared" si="4"/>
        <v>0</v>
      </c>
    </row>
    <row r="78" spans="1:16" s="1" customFormat="1" ht="64" x14ac:dyDescent="0.2">
      <c r="A78" s="14" t="s">
        <v>39</v>
      </c>
      <c r="B78" s="14" t="s">
        <v>84</v>
      </c>
      <c r="C78" s="10"/>
      <c r="D78" s="11">
        <v>0.68599999999999994</v>
      </c>
      <c r="H78" s="1">
        <f>2*H3</f>
        <v>0</v>
      </c>
      <c r="J78" s="1">
        <f t="shared" ref="J78" si="7">2*J3</f>
        <v>0</v>
      </c>
      <c r="O78" s="1">
        <f t="shared" si="5"/>
        <v>0</v>
      </c>
      <c r="P78" s="12">
        <f t="shared" si="4"/>
        <v>0</v>
      </c>
    </row>
    <row r="79" spans="1:16" s="1" customFormat="1" ht="64" x14ac:dyDescent="0.2">
      <c r="A79" s="14" t="s">
        <v>40</v>
      </c>
      <c r="B79" s="14" t="s">
        <v>85</v>
      </c>
      <c r="C79" s="10"/>
      <c r="D79" s="11">
        <v>0.98</v>
      </c>
      <c r="E79" s="1">
        <f>2*E3</f>
        <v>0</v>
      </c>
      <c r="G79" s="1">
        <f t="shared" ref="G79" si="8">2*G3</f>
        <v>0</v>
      </c>
      <c r="O79" s="1">
        <f t="shared" si="5"/>
        <v>0</v>
      </c>
      <c r="P79" s="12">
        <f t="shared" si="4"/>
        <v>0</v>
      </c>
    </row>
    <row r="80" spans="1:16" s="1" customFormat="1" ht="64" x14ac:dyDescent="0.2">
      <c r="A80" s="14" t="s">
        <v>41</v>
      </c>
      <c r="B80" s="15" t="s">
        <v>254</v>
      </c>
      <c r="C80" s="16"/>
      <c r="D80" s="11">
        <v>0.98</v>
      </c>
      <c r="E80" s="1">
        <f>2*E3</f>
        <v>0</v>
      </c>
      <c r="G80" s="1">
        <f t="shared" ref="G80" si="9">2*G3</f>
        <v>0</v>
      </c>
      <c r="O80" s="1">
        <f t="shared" si="5"/>
        <v>0</v>
      </c>
      <c r="P80" s="12">
        <f t="shared" si="4"/>
        <v>0</v>
      </c>
    </row>
    <row r="81" spans="1:16" s="1" customFormat="1" ht="64" x14ac:dyDescent="0.2">
      <c r="A81" s="14" t="s">
        <v>136</v>
      </c>
      <c r="B81" s="14" t="s">
        <v>132</v>
      </c>
      <c r="C81" s="10"/>
      <c r="D81" s="11">
        <v>0.98</v>
      </c>
      <c r="O81" s="1">
        <f t="shared" si="5"/>
        <v>0</v>
      </c>
      <c r="P81" s="12">
        <f t="shared" si="4"/>
        <v>0</v>
      </c>
    </row>
    <row r="82" spans="1:16" s="1" customFormat="1" ht="64" x14ac:dyDescent="0.2">
      <c r="A82" s="14" t="s">
        <v>137</v>
      </c>
      <c r="B82" s="15" t="s">
        <v>255</v>
      </c>
      <c r="C82" s="16"/>
      <c r="D82" s="11">
        <v>0.98</v>
      </c>
      <c r="O82" s="1">
        <f t="shared" si="5"/>
        <v>0</v>
      </c>
      <c r="P82" s="12">
        <f t="shared" si="4"/>
        <v>0</v>
      </c>
    </row>
    <row r="83" spans="1:16" s="1" customFormat="1" ht="128" x14ac:dyDescent="0.2">
      <c r="A83" s="10" t="s">
        <v>154</v>
      </c>
      <c r="B83" s="10" t="s">
        <v>155</v>
      </c>
      <c r="C83" s="10"/>
      <c r="D83" s="11">
        <v>19.137999999999998</v>
      </c>
      <c r="O83" s="1">
        <f t="shared" si="5"/>
        <v>0</v>
      </c>
      <c r="P83" s="12">
        <f t="shared" si="4"/>
        <v>0</v>
      </c>
    </row>
    <row r="84" spans="1:16" s="1" customFormat="1" ht="288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5"/>
        <v>0</v>
      </c>
      <c r="P84" s="12">
        <f t="shared" si="4"/>
        <v>0</v>
      </c>
    </row>
    <row r="85" spans="1:16" s="1" customFormat="1" ht="288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5"/>
        <v>0</v>
      </c>
      <c r="P85" s="12">
        <f t="shared" si="4"/>
        <v>0</v>
      </c>
    </row>
    <row r="86" spans="1:16" s="1" customFormat="1" ht="288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5"/>
        <v>0</v>
      </c>
      <c r="P86" s="12">
        <f t="shared" si="4"/>
        <v>0</v>
      </c>
    </row>
    <row r="87" spans="1:16" s="1" customFormat="1" ht="128" x14ac:dyDescent="0.2">
      <c r="A87" s="14" t="s">
        <v>180</v>
      </c>
      <c r="B87" s="10" t="s">
        <v>181</v>
      </c>
      <c r="C87" s="10"/>
      <c r="D87" s="11">
        <v>0.75</v>
      </c>
      <c r="O87" s="1">
        <f t="shared" si="5"/>
        <v>0</v>
      </c>
      <c r="P87" s="12">
        <f t="shared" si="4"/>
        <v>0</v>
      </c>
    </row>
    <row r="88" spans="1:16" s="1" customFormat="1" ht="128" x14ac:dyDescent="0.2">
      <c r="A88" s="14" t="s">
        <v>182</v>
      </c>
      <c r="B88" s="10" t="s">
        <v>183</v>
      </c>
      <c r="C88" s="10"/>
      <c r="D88" s="11">
        <v>0.75</v>
      </c>
      <c r="O88" s="1">
        <f t="shared" si="5"/>
        <v>0</v>
      </c>
      <c r="P88" s="12">
        <f t="shared" si="4"/>
        <v>0</v>
      </c>
    </row>
    <row r="89" spans="1:16" s="1" customFormat="1" ht="128" x14ac:dyDescent="0.2">
      <c r="A89" s="14" t="s">
        <v>184</v>
      </c>
      <c r="B89" s="10" t="s">
        <v>185</v>
      </c>
      <c r="C89" s="10"/>
      <c r="D89" s="11">
        <v>0.75</v>
      </c>
      <c r="O89" s="1">
        <f t="shared" si="5"/>
        <v>0</v>
      </c>
      <c r="P89" s="12">
        <f t="shared" si="4"/>
        <v>0</v>
      </c>
    </row>
    <row r="90" spans="1:16" s="1" customFormat="1" ht="128" x14ac:dyDescent="0.2">
      <c r="A90" s="14" t="s">
        <v>186</v>
      </c>
      <c r="B90" s="14" t="s">
        <v>256</v>
      </c>
      <c r="C90" s="10"/>
      <c r="D90" s="11">
        <v>0.75</v>
      </c>
      <c r="O90" s="1">
        <f t="shared" si="5"/>
        <v>0</v>
      </c>
      <c r="P90" s="12">
        <f t="shared" si="4"/>
        <v>0</v>
      </c>
    </row>
    <row r="91" spans="1:16" ht="72" customHeight="1" x14ac:dyDescent="0.2">
      <c r="O91" s="1">
        <f t="shared" si="5"/>
        <v>0</v>
      </c>
    </row>
    <row r="92" spans="1:16" s="24" customFormat="1" ht="111" customHeight="1" x14ac:dyDescent="0.2">
      <c r="O92" s="24" t="s">
        <v>114</v>
      </c>
      <c r="P92" s="63">
        <f>SUM(P4:P90)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E9F9-13AD-6248-A973-D75875C5F004}">
  <dimension ref="A1:R92"/>
  <sheetViews>
    <sheetView tabSelected="1" zoomScale="50" zoomScaleNormal="75" workbookViewId="0">
      <selection activeCell="I4" sqref="I4"/>
    </sheetView>
  </sheetViews>
  <sheetFormatPr baseColWidth="10" defaultRowHeight="16" x14ac:dyDescent="0.2"/>
  <cols>
    <col min="1" max="1" width="75.5" customWidth="1"/>
    <col min="2" max="2" width="62.33203125" customWidth="1"/>
    <col min="3" max="3" width="57.6640625" customWidth="1"/>
    <col min="4" max="4" width="44.1640625" customWidth="1"/>
    <col min="5" max="5" width="48.83203125" customWidth="1"/>
    <col min="6" max="6" width="56.33203125" customWidth="1"/>
    <col min="7" max="7" width="46.33203125" customWidth="1"/>
    <col min="8" max="8" width="50.83203125" customWidth="1"/>
    <col min="9" max="9" width="54.1640625" customWidth="1"/>
    <col min="10" max="10" width="54" customWidth="1"/>
    <col min="11" max="11" width="7.1640625" customWidth="1"/>
    <col min="12" max="12" width="4.83203125" customWidth="1"/>
    <col min="13" max="13" width="8.1640625" customWidth="1"/>
    <col min="14" max="14" width="8" customWidth="1"/>
    <col min="15" max="15" width="26" customWidth="1"/>
    <col min="16" max="16" width="33" customWidth="1"/>
  </cols>
  <sheetData>
    <row r="1" spans="1:18" s="62" customFormat="1" ht="233" customHeight="1" x14ac:dyDescent="0.2">
      <c r="A1" s="2" t="s">
        <v>88</v>
      </c>
      <c r="B1" s="2" t="s">
        <v>89</v>
      </c>
      <c r="C1" s="3" t="s">
        <v>86</v>
      </c>
      <c r="D1" s="3" t="s">
        <v>87</v>
      </c>
      <c r="E1" s="4" t="s">
        <v>232</v>
      </c>
      <c r="F1" s="4" t="s">
        <v>233</v>
      </c>
      <c r="G1" s="4" t="s">
        <v>236</v>
      </c>
      <c r="H1" s="4" t="s">
        <v>234</v>
      </c>
      <c r="I1" s="4" t="s">
        <v>235</v>
      </c>
      <c r="J1" s="4" t="s">
        <v>237</v>
      </c>
      <c r="K1" s="4"/>
      <c r="L1" s="4"/>
      <c r="M1" s="4"/>
      <c r="N1" s="4"/>
      <c r="O1" s="4"/>
      <c r="P1" s="4"/>
      <c r="Q1" s="4"/>
      <c r="R1" s="4"/>
    </row>
    <row r="2" spans="1:18" s="1" customFormat="1" ht="31" x14ac:dyDescent="0.35">
      <c r="A2" s="2"/>
      <c r="B2" s="2"/>
      <c r="C2" s="3"/>
      <c r="D2" s="3"/>
    </row>
    <row r="3" spans="1:18" s="24" customFormat="1" ht="72" customHeight="1" x14ac:dyDescent="0.2">
      <c r="A3" s="2"/>
      <c r="B3" s="2"/>
      <c r="C3" s="3"/>
      <c r="D3" s="3" t="s">
        <v>126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O3" s="24" t="s">
        <v>114</v>
      </c>
      <c r="P3" s="24" t="s">
        <v>118</v>
      </c>
    </row>
    <row r="4" spans="1:18" s="1" customFormat="1" ht="64" x14ac:dyDescent="0.35">
      <c r="A4" s="9" t="s">
        <v>108</v>
      </c>
      <c r="B4" s="9" t="s">
        <v>42</v>
      </c>
      <c r="C4" s="10"/>
      <c r="D4" s="11">
        <v>3.2071200000000002</v>
      </c>
      <c r="G4" s="1">
        <f>6*G3</f>
        <v>0</v>
      </c>
      <c r="J4" s="1">
        <f>6*J3</f>
        <v>0</v>
      </c>
      <c r="O4" s="1">
        <f>SUM(E4:J4)</f>
        <v>0</v>
      </c>
      <c r="P4" s="12">
        <f t="shared" ref="P4:P35" si="0">D4*O4</f>
        <v>0</v>
      </c>
    </row>
    <row r="5" spans="1:18" s="1" customFormat="1" ht="64" x14ac:dyDescent="0.35">
      <c r="A5" s="9" t="s">
        <v>109</v>
      </c>
      <c r="B5" s="9" t="s">
        <v>43</v>
      </c>
      <c r="C5" s="10"/>
      <c r="D5" s="11">
        <v>4.1087199999999999</v>
      </c>
      <c r="G5" s="1">
        <f>2*G3</f>
        <v>0</v>
      </c>
      <c r="J5" s="1">
        <f>2*J3</f>
        <v>0</v>
      </c>
      <c r="O5" s="1">
        <f t="shared" ref="O5:O68" si="1">SUM(E5:J5)</f>
        <v>0</v>
      </c>
      <c r="P5" s="12">
        <f t="shared" si="0"/>
        <v>0</v>
      </c>
    </row>
    <row r="6" spans="1:18" s="1" customFormat="1" ht="64" x14ac:dyDescent="0.35">
      <c r="A6" s="9" t="s">
        <v>110</v>
      </c>
      <c r="B6" s="9" t="s">
        <v>44</v>
      </c>
      <c r="C6" s="10"/>
      <c r="D6" s="11">
        <v>3.47</v>
      </c>
      <c r="E6" s="1">
        <f>6*E3</f>
        <v>0</v>
      </c>
      <c r="F6" s="1">
        <f t="shared" ref="F6:I6" si="2">6*F3</f>
        <v>0</v>
      </c>
      <c r="H6" s="1">
        <f t="shared" si="2"/>
        <v>0</v>
      </c>
      <c r="I6" s="1">
        <f t="shared" si="2"/>
        <v>0</v>
      </c>
      <c r="O6" s="1">
        <f t="shared" si="1"/>
        <v>0</v>
      </c>
      <c r="P6" s="12">
        <f t="shared" si="0"/>
        <v>0</v>
      </c>
    </row>
    <row r="7" spans="1:18" s="1" customFormat="1" ht="64" x14ac:dyDescent="0.35">
      <c r="A7" s="9" t="s">
        <v>111</v>
      </c>
      <c r="B7" s="9" t="s">
        <v>45</v>
      </c>
      <c r="C7" s="10"/>
      <c r="D7" s="11">
        <v>4.2699999999999996</v>
      </c>
      <c r="E7" s="1">
        <f>2*E3</f>
        <v>0</v>
      </c>
      <c r="F7" s="1">
        <f t="shared" ref="F7:I7" si="3">2*F3</f>
        <v>0</v>
      </c>
      <c r="H7" s="1">
        <f t="shared" si="3"/>
        <v>0</v>
      </c>
      <c r="I7" s="1">
        <f t="shared" si="3"/>
        <v>0</v>
      </c>
      <c r="O7" s="1">
        <f t="shared" si="1"/>
        <v>0</v>
      </c>
      <c r="P7" s="12">
        <f t="shared" si="0"/>
        <v>0</v>
      </c>
    </row>
    <row r="8" spans="1:18" s="1" customFormat="1" ht="64" x14ac:dyDescent="0.35">
      <c r="A8" s="9" t="s">
        <v>112</v>
      </c>
      <c r="B8" s="9" t="s">
        <v>46</v>
      </c>
      <c r="C8" s="10"/>
      <c r="D8" s="11">
        <v>6.23</v>
      </c>
      <c r="O8" s="1">
        <f t="shared" si="1"/>
        <v>0</v>
      </c>
      <c r="P8" s="12">
        <f t="shared" si="0"/>
        <v>0</v>
      </c>
    </row>
    <row r="9" spans="1:18" s="1" customFormat="1" ht="64" x14ac:dyDescent="0.35">
      <c r="A9" s="9" t="s">
        <v>113</v>
      </c>
      <c r="B9" s="9" t="s">
        <v>47</v>
      </c>
      <c r="C9" s="10"/>
      <c r="D9" s="11">
        <v>7.6579999999999995</v>
      </c>
      <c r="O9" s="1" t="s">
        <v>320</v>
      </c>
      <c r="P9" s="12" t="e">
        <f t="shared" si="0"/>
        <v>#VALUE!</v>
      </c>
    </row>
    <row r="10" spans="1:18" s="1" customFormat="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J10" s="1">
        <f>18*J3</f>
        <v>0</v>
      </c>
      <c r="O10" s="1">
        <f t="shared" si="1"/>
        <v>0</v>
      </c>
      <c r="P10" s="12">
        <f t="shared" si="0"/>
        <v>0</v>
      </c>
    </row>
    <row r="11" spans="1:18" s="1" customFormat="1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H11" s="1">
        <f>18*H3</f>
        <v>0</v>
      </c>
      <c r="I11" s="1">
        <f>18*I3</f>
        <v>0</v>
      </c>
      <c r="O11" s="1">
        <f t="shared" si="1"/>
        <v>0</v>
      </c>
      <c r="P11" s="12">
        <f t="shared" si="0"/>
        <v>0</v>
      </c>
    </row>
    <row r="12" spans="1:18" s="1" customFormat="1" ht="96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O12" s="1">
        <f t="shared" si="1"/>
        <v>0</v>
      </c>
      <c r="P12" s="12">
        <f t="shared" si="0"/>
        <v>0</v>
      </c>
    </row>
    <row r="13" spans="1:18" s="1" customFormat="1" ht="96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O13" s="1">
        <f t="shared" si="1"/>
        <v>0</v>
      </c>
      <c r="P13" s="12">
        <f t="shared" si="0"/>
        <v>0</v>
      </c>
    </row>
    <row r="14" spans="1:18" s="1" customFormat="1" ht="96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O14" s="1">
        <f t="shared" si="1"/>
        <v>0</v>
      </c>
      <c r="P14" s="12">
        <f t="shared" si="0"/>
        <v>0</v>
      </c>
    </row>
    <row r="15" spans="1:18" s="1" customFormat="1" ht="96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O15" s="1">
        <f t="shared" si="1"/>
        <v>0</v>
      </c>
      <c r="P15" s="12">
        <f t="shared" si="0"/>
        <v>0</v>
      </c>
    </row>
    <row r="16" spans="1:18" s="1" customFormat="1" ht="96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O16" s="1">
        <f t="shared" si="1"/>
        <v>0</v>
      </c>
      <c r="P16" s="12">
        <f t="shared" si="0"/>
        <v>0</v>
      </c>
    </row>
    <row r="17" spans="1:16" s="1" customFormat="1" ht="96" x14ac:dyDescent="0.35">
      <c r="A17" s="9" t="s">
        <v>311</v>
      </c>
      <c r="B17" s="9" t="s">
        <v>307</v>
      </c>
      <c r="C17" s="10" t="s">
        <v>91</v>
      </c>
      <c r="D17" s="11">
        <v>4.0571999999999999</v>
      </c>
      <c r="O17" s="1">
        <f t="shared" si="1"/>
        <v>0</v>
      </c>
      <c r="P17" s="12">
        <f t="shared" si="0"/>
        <v>0</v>
      </c>
    </row>
    <row r="18" spans="1:16" s="1" customFormat="1" ht="96" x14ac:dyDescent="0.35">
      <c r="A18" s="9" t="s">
        <v>103</v>
      </c>
      <c r="B18" s="9" t="s">
        <v>104</v>
      </c>
      <c r="C18" s="10" t="s">
        <v>90</v>
      </c>
      <c r="D18" s="11">
        <v>4.0571999999999999</v>
      </c>
      <c r="G18" s="1">
        <f>18*G3</f>
        <v>0</v>
      </c>
      <c r="O18" s="1">
        <f t="shared" si="1"/>
        <v>0</v>
      </c>
      <c r="P18" s="12">
        <f t="shared" si="0"/>
        <v>0</v>
      </c>
    </row>
    <row r="19" spans="1:16" s="1" customFormat="1" ht="96" x14ac:dyDescent="0.35">
      <c r="A19" s="9" t="s">
        <v>207</v>
      </c>
      <c r="B19" s="9" t="s">
        <v>208</v>
      </c>
      <c r="C19" s="10" t="s">
        <v>90</v>
      </c>
      <c r="D19" s="11">
        <v>4.0571999999999999</v>
      </c>
      <c r="O19" s="1">
        <f t="shared" si="1"/>
        <v>0</v>
      </c>
      <c r="P19" s="12">
        <f t="shared" si="0"/>
        <v>0</v>
      </c>
    </row>
    <row r="20" spans="1:16" s="1" customFormat="1" ht="96" x14ac:dyDescent="0.35">
      <c r="A20" s="9" t="s">
        <v>4</v>
      </c>
      <c r="B20" s="9" t="s">
        <v>52</v>
      </c>
      <c r="C20" s="10" t="s">
        <v>90</v>
      </c>
      <c r="D20" s="11">
        <v>4.0571999999999999</v>
      </c>
      <c r="E20" s="1">
        <f>18*E3</f>
        <v>0</v>
      </c>
      <c r="F20" s="1">
        <f>18*F3</f>
        <v>0</v>
      </c>
      <c r="O20" s="1">
        <f t="shared" si="1"/>
        <v>0</v>
      </c>
      <c r="P20" s="12">
        <f t="shared" si="0"/>
        <v>0</v>
      </c>
    </row>
    <row r="21" spans="1:16" s="1" customFormat="1" ht="96" x14ac:dyDescent="0.35">
      <c r="A21" s="9" t="s">
        <v>200</v>
      </c>
      <c r="B21" s="9" t="s">
        <v>53</v>
      </c>
      <c r="C21" s="10" t="s">
        <v>90</v>
      </c>
      <c r="D21" s="11">
        <v>5.3</v>
      </c>
      <c r="O21" s="1">
        <f t="shared" si="1"/>
        <v>0</v>
      </c>
      <c r="P21" s="12">
        <f t="shared" si="0"/>
        <v>0</v>
      </c>
    </row>
    <row r="22" spans="1:16" s="1" customFormat="1" ht="96" x14ac:dyDescent="0.35">
      <c r="A22" s="9" t="s">
        <v>202</v>
      </c>
      <c r="B22" s="9" t="s">
        <v>198</v>
      </c>
      <c r="C22" s="10" t="s">
        <v>92</v>
      </c>
      <c r="D22" s="11">
        <v>5.3065600000000011</v>
      </c>
      <c r="O22" s="1">
        <f t="shared" si="1"/>
        <v>0</v>
      </c>
      <c r="P22" s="12">
        <f t="shared" si="0"/>
        <v>0</v>
      </c>
    </row>
    <row r="23" spans="1:16" s="1" customFormat="1" ht="96" x14ac:dyDescent="0.35">
      <c r="A23" s="9" t="s">
        <v>200</v>
      </c>
      <c r="B23" s="9" t="s">
        <v>161</v>
      </c>
      <c r="C23" s="10" t="s">
        <v>92</v>
      </c>
      <c r="D23" s="11">
        <v>5.3065600000000011</v>
      </c>
      <c r="O23" s="1">
        <f t="shared" si="1"/>
        <v>0</v>
      </c>
      <c r="P23" s="12">
        <f t="shared" si="0"/>
        <v>0</v>
      </c>
    </row>
    <row r="24" spans="1:16" s="1" customFormat="1" ht="32" x14ac:dyDescent="0.35">
      <c r="A24" s="9" t="s">
        <v>162</v>
      </c>
      <c r="B24" s="9" t="s">
        <v>163</v>
      </c>
      <c r="C24" s="10"/>
      <c r="D24" s="11">
        <v>0.24</v>
      </c>
      <c r="O24" s="1">
        <f t="shared" si="1"/>
        <v>0</v>
      </c>
      <c r="P24" s="12">
        <f t="shared" si="0"/>
        <v>0</v>
      </c>
    </row>
    <row r="25" spans="1:16" s="1" customFormat="1" ht="32" x14ac:dyDescent="0.35">
      <c r="A25" s="9" t="s">
        <v>164</v>
      </c>
      <c r="B25" s="9" t="s">
        <v>165</v>
      </c>
      <c r="C25" s="10"/>
      <c r="D25" s="11">
        <v>0.17</v>
      </c>
      <c r="O25" s="1">
        <f t="shared" si="1"/>
        <v>0</v>
      </c>
      <c r="P25" s="12">
        <f t="shared" si="0"/>
        <v>0</v>
      </c>
    </row>
    <row r="26" spans="1:16" s="1" customFormat="1" ht="96" x14ac:dyDescent="0.35">
      <c r="A26" s="14" t="s">
        <v>166</v>
      </c>
      <c r="B26" s="14" t="s">
        <v>167</v>
      </c>
      <c r="C26" s="10"/>
      <c r="D26" s="11">
        <v>7.2</v>
      </c>
      <c r="O26" s="1">
        <f t="shared" si="1"/>
        <v>0</v>
      </c>
      <c r="P26" s="12">
        <f t="shared" si="0"/>
        <v>0</v>
      </c>
    </row>
    <row r="27" spans="1:16" s="1" customFormat="1" ht="96" x14ac:dyDescent="0.35">
      <c r="A27" s="78" t="s">
        <v>316</v>
      </c>
      <c r="B27" s="14" t="s">
        <v>169</v>
      </c>
      <c r="C27" s="10"/>
      <c r="D27" s="11">
        <v>7.2</v>
      </c>
      <c r="O27" s="1">
        <f t="shared" si="1"/>
        <v>0</v>
      </c>
      <c r="P27" s="12">
        <f t="shared" si="0"/>
        <v>0</v>
      </c>
    </row>
    <row r="28" spans="1:16" s="1" customFormat="1" ht="96" x14ac:dyDescent="0.35">
      <c r="A28" s="78" t="s">
        <v>314</v>
      </c>
      <c r="B28" s="14" t="s">
        <v>315</v>
      </c>
      <c r="C28" s="10"/>
      <c r="D28" s="11">
        <v>7.2</v>
      </c>
      <c r="O28" s="1">
        <f t="shared" si="1"/>
        <v>0</v>
      </c>
      <c r="P28" s="12">
        <f t="shared" si="0"/>
        <v>0</v>
      </c>
    </row>
    <row r="29" spans="1:16" s="1" customFormat="1" ht="96" x14ac:dyDescent="0.35">
      <c r="A29" s="14" t="s">
        <v>170</v>
      </c>
      <c r="B29" s="14" t="s">
        <v>171</v>
      </c>
      <c r="C29" s="10"/>
      <c r="D29" s="11">
        <v>7.2</v>
      </c>
      <c r="O29" s="1">
        <f t="shared" si="1"/>
        <v>0</v>
      </c>
      <c r="P29" s="12">
        <f t="shared" si="0"/>
        <v>0</v>
      </c>
    </row>
    <row r="30" spans="1:16" s="1" customFormat="1" ht="96" x14ac:dyDescent="0.35">
      <c r="A30" s="78" t="s">
        <v>312</v>
      </c>
      <c r="B30" s="14" t="s">
        <v>173</v>
      </c>
      <c r="C30" s="10"/>
      <c r="D30" s="11">
        <v>7.2</v>
      </c>
      <c r="O30" s="1">
        <f t="shared" si="1"/>
        <v>0</v>
      </c>
      <c r="P30" s="12">
        <f t="shared" si="0"/>
        <v>0</v>
      </c>
    </row>
    <row r="31" spans="1:16" s="1" customFormat="1" ht="96" x14ac:dyDescent="0.35">
      <c r="A31" s="14" t="s">
        <v>172</v>
      </c>
      <c r="B31" s="14" t="s">
        <v>173</v>
      </c>
      <c r="C31" s="10"/>
      <c r="D31" s="11">
        <v>7.2</v>
      </c>
      <c r="O31" s="1">
        <f t="shared" si="1"/>
        <v>0</v>
      </c>
      <c r="P31" s="12">
        <f t="shared" si="0"/>
        <v>0</v>
      </c>
    </row>
    <row r="32" spans="1:16" s="1" customFormat="1" ht="96" x14ac:dyDescent="0.35">
      <c r="A32" s="9" t="s">
        <v>6</v>
      </c>
      <c r="B32" s="9" t="s">
        <v>93</v>
      </c>
      <c r="C32" s="10" t="s">
        <v>94</v>
      </c>
      <c r="D32" s="11">
        <v>8.7919999999999998</v>
      </c>
      <c r="O32" s="1">
        <f t="shared" si="1"/>
        <v>0</v>
      </c>
      <c r="P32" s="12">
        <f t="shared" si="0"/>
        <v>0</v>
      </c>
    </row>
    <row r="33" spans="1:16" s="1" customFormat="1" ht="96" x14ac:dyDescent="0.35">
      <c r="A33" s="9" t="s">
        <v>101</v>
      </c>
      <c r="B33" s="9" t="s">
        <v>102</v>
      </c>
      <c r="C33" s="10" t="s">
        <v>95</v>
      </c>
      <c r="D33" s="11">
        <v>8.7919999999999998</v>
      </c>
      <c r="O33" s="1">
        <f t="shared" si="1"/>
        <v>0</v>
      </c>
      <c r="P33" s="12">
        <f t="shared" si="0"/>
        <v>0</v>
      </c>
    </row>
    <row r="34" spans="1:16" s="1" customFormat="1" ht="96" x14ac:dyDescent="0.35">
      <c r="A34" s="9" t="s">
        <v>99</v>
      </c>
      <c r="B34" s="9" t="s">
        <v>100</v>
      </c>
      <c r="C34" s="10" t="s">
        <v>95</v>
      </c>
      <c r="D34" s="11">
        <v>9.6180000000000003</v>
      </c>
      <c r="O34" s="1">
        <f t="shared" si="1"/>
        <v>0</v>
      </c>
      <c r="P34" s="12">
        <f t="shared" si="0"/>
        <v>0</v>
      </c>
    </row>
    <row r="35" spans="1:16" s="1" customFormat="1" ht="96" x14ac:dyDescent="0.35">
      <c r="A35" s="9" t="s">
        <v>105</v>
      </c>
      <c r="B35" s="9" t="s">
        <v>106</v>
      </c>
      <c r="C35" s="10" t="s">
        <v>95</v>
      </c>
      <c r="D35" s="11">
        <v>9.6180000000000003</v>
      </c>
      <c r="O35" s="1">
        <f t="shared" si="1"/>
        <v>0</v>
      </c>
      <c r="P35" s="12">
        <f t="shared" si="0"/>
        <v>0</v>
      </c>
    </row>
    <row r="36" spans="1:16" s="1" customFormat="1" ht="96" x14ac:dyDescent="0.35">
      <c r="A36" s="9" t="s">
        <v>7</v>
      </c>
      <c r="B36" s="9" t="s">
        <v>54</v>
      </c>
      <c r="C36" s="10" t="s">
        <v>95</v>
      </c>
      <c r="D36" s="11">
        <v>9.6180000000000003</v>
      </c>
      <c r="O36" s="1">
        <f t="shared" si="1"/>
        <v>0</v>
      </c>
      <c r="P36" s="12">
        <f t="shared" ref="P36:P67" si="4">D36*O36</f>
        <v>0</v>
      </c>
    </row>
    <row r="37" spans="1:16" s="1" customFormat="1" ht="64" x14ac:dyDescent="0.35">
      <c r="A37" s="9" t="s">
        <v>143</v>
      </c>
      <c r="B37" s="9" t="s">
        <v>55</v>
      </c>
      <c r="C37" s="10" t="s">
        <v>9</v>
      </c>
      <c r="D37" s="11">
        <v>6.6220000000000008</v>
      </c>
      <c r="O37" s="1">
        <f t="shared" si="1"/>
        <v>0</v>
      </c>
      <c r="P37" s="12">
        <f t="shared" si="4"/>
        <v>0</v>
      </c>
    </row>
    <row r="38" spans="1:16" s="1" customFormat="1" ht="64" x14ac:dyDescent="0.35">
      <c r="A38" s="9" t="s">
        <v>8</v>
      </c>
      <c r="B38" s="9" t="s">
        <v>55</v>
      </c>
      <c r="C38" s="10" t="s">
        <v>9</v>
      </c>
      <c r="D38" s="11">
        <v>6.6220000000000008</v>
      </c>
      <c r="O38" s="1">
        <f t="shared" si="1"/>
        <v>0</v>
      </c>
      <c r="P38" s="12">
        <f t="shared" si="4"/>
        <v>0</v>
      </c>
    </row>
    <row r="39" spans="1:16" s="1" customFormat="1" ht="64" x14ac:dyDescent="0.35">
      <c r="A39" s="9" t="s">
        <v>10</v>
      </c>
      <c r="B39" s="9" t="s">
        <v>56</v>
      </c>
      <c r="C39" s="10" t="s">
        <v>1</v>
      </c>
      <c r="D39" s="11">
        <v>8.6519999999999992</v>
      </c>
      <c r="O39" s="1">
        <f t="shared" si="1"/>
        <v>0</v>
      </c>
      <c r="P39" s="12">
        <f t="shared" si="4"/>
        <v>0</v>
      </c>
    </row>
    <row r="40" spans="1:16" s="1" customFormat="1" ht="64" x14ac:dyDescent="0.35">
      <c r="A40" s="9" t="s">
        <v>117</v>
      </c>
      <c r="B40" s="9" t="s">
        <v>98</v>
      </c>
      <c r="C40" s="10" t="s">
        <v>9</v>
      </c>
      <c r="D40" s="11">
        <v>7.22</v>
      </c>
      <c r="O40" s="1">
        <f t="shared" si="1"/>
        <v>0</v>
      </c>
      <c r="P40" s="12">
        <f t="shared" si="4"/>
        <v>0</v>
      </c>
    </row>
    <row r="41" spans="1:16" s="1" customFormat="1" ht="64" x14ac:dyDescent="0.35">
      <c r="A41" s="9" t="s">
        <v>11</v>
      </c>
      <c r="B41" s="9" t="s">
        <v>57</v>
      </c>
      <c r="C41" s="10" t="s">
        <v>9</v>
      </c>
      <c r="D41" s="11">
        <v>5.16</v>
      </c>
      <c r="O41" s="1">
        <f t="shared" si="1"/>
        <v>0</v>
      </c>
      <c r="P41" s="12">
        <f t="shared" si="4"/>
        <v>0</v>
      </c>
    </row>
    <row r="42" spans="1:16" s="1" customFormat="1" ht="64" x14ac:dyDescent="0.35">
      <c r="A42" s="9" t="s">
        <v>116</v>
      </c>
      <c r="B42" s="9" t="s">
        <v>107</v>
      </c>
      <c r="C42" s="10" t="s">
        <v>9</v>
      </c>
      <c r="D42" s="11">
        <v>7.22</v>
      </c>
      <c r="O42" s="1">
        <f t="shared" si="1"/>
        <v>0</v>
      </c>
      <c r="P42" s="12">
        <f t="shared" si="4"/>
        <v>0</v>
      </c>
    </row>
    <row r="43" spans="1:16" s="1" customFormat="1" ht="64" x14ac:dyDescent="0.35">
      <c r="A43" s="9" t="s">
        <v>115</v>
      </c>
      <c r="B43" s="9" t="s">
        <v>58</v>
      </c>
      <c r="C43" s="10" t="s">
        <v>9</v>
      </c>
      <c r="D43" s="11">
        <v>7.22</v>
      </c>
      <c r="O43" s="1">
        <f t="shared" si="1"/>
        <v>0</v>
      </c>
      <c r="P43" s="12">
        <f t="shared" si="4"/>
        <v>0</v>
      </c>
    </row>
    <row r="44" spans="1:16" s="1" customFormat="1" ht="64" x14ac:dyDescent="0.35">
      <c r="A44" s="9" t="s">
        <v>12</v>
      </c>
      <c r="B44" s="9" t="s">
        <v>59</v>
      </c>
      <c r="C44" s="10" t="s">
        <v>0</v>
      </c>
      <c r="D44" s="11">
        <v>0.66128525542088779</v>
      </c>
      <c r="H44" s="1">
        <f>32*H3</f>
        <v>0</v>
      </c>
      <c r="I44" s="1">
        <f>32*I3</f>
        <v>0</v>
      </c>
      <c r="J44" s="1">
        <f>32*J3</f>
        <v>0</v>
      </c>
      <c r="O44" s="1">
        <f t="shared" si="1"/>
        <v>0</v>
      </c>
      <c r="P44" s="12">
        <f t="shared" si="4"/>
        <v>0</v>
      </c>
    </row>
    <row r="45" spans="1:16" s="1" customFormat="1" ht="64" x14ac:dyDescent="0.35">
      <c r="A45" s="9" t="s">
        <v>13</v>
      </c>
      <c r="B45" s="9" t="s">
        <v>60</v>
      </c>
      <c r="C45" s="10"/>
      <c r="D45" s="11">
        <v>0.73</v>
      </c>
      <c r="E45" s="1">
        <f>32*E3</f>
        <v>0</v>
      </c>
      <c r="F45" s="1">
        <f>32*F3</f>
        <v>0</v>
      </c>
      <c r="G45" s="1">
        <f>32*G3</f>
        <v>0</v>
      </c>
      <c r="O45" s="1">
        <f t="shared" si="1"/>
        <v>0</v>
      </c>
      <c r="P45" s="12">
        <f t="shared" si="4"/>
        <v>0</v>
      </c>
    </row>
    <row r="46" spans="1:16" s="1" customFormat="1" ht="64" x14ac:dyDescent="0.35">
      <c r="A46" s="9" t="s">
        <v>135</v>
      </c>
      <c r="B46" s="9" t="s">
        <v>134</v>
      </c>
      <c r="C46" s="10"/>
      <c r="D46" s="11">
        <v>0.73</v>
      </c>
      <c r="O46" s="1">
        <f t="shared" si="1"/>
        <v>0</v>
      </c>
      <c r="P46" s="12">
        <f t="shared" si="4"/>
        <v>0</v>
      </c>
    </row>
    <row r="47" spans="1:16" s="1" customFormat="1" ht="64" x14ac:dyDescent="0.35">
      <c r="A47" s="14" t="s">
        <v>14</v>
      </c>
      <c r="B47" s="14" t="s">
        <v>61</v>
      </c>
      <c r="C47" s="10"/>
      <c r="D47" s="11">
        <v>1.8620000000000001</v>
      </c>
      <c r="O47" s="1">
        <f t="shared" si="1"/>
        <v>0</v>
      </c>
      <c r="P47" s="12">
        <f t="shared" si="4"/>
        <v>0</v>
      </c>
    </row>
    <row r="48" spans="1:16" s="1" customFormat="1" ht="99" customHeight="1" x14ac:dyDescent="0.35">
      <c r="A48" s="14" t="s">
        <v>15</v>
      </c>
      <c r="B48" s="14" t="s">
        <v>62</v>
      </c>
      <c r="C48" s="10"/>
      <c r="D48" s="11">
        <v>0.96600000000000008</v>
      </c>
      <c r="G48" s="1">
        <f>1*G3</f>
        <v>0</v>
      </c>
      <c r="J48" s="1">
        <f>1*J3</f>
        <v>0</v>
      </c>
      <c r="O48" s="1">
        <f t="shared" si="1"/>
        <v>0</v>
      </c>
      <c r="P48" s="12">
        <f t="shared" si="4"/>
        <v>0</v>
      </c>
    </row>
    <row r="49" spans="1:16" s="1" customFormat="1" ht="88" customHeight="1" x14ac:dyDescent="0.35">
      <c r="A49" s="14" t="s">
        <v>16</v>
      </c>
      <c r="B49" s="14" t="s">
        <v>63</v>
      </c>
      <c r="C49" s="10"/>
      <c r="D49" s="11">
        <v>0.83</v>
      </c>
      <c r="E49" s="1">
        <f>1*E3</f>
        <v>0</v>
      </c>
      <c r="F49" s="1">
        <f>1*F3</f>
        <v>0</v>
      </c>
      <c r="H49" s="1">
        <f>1*H3</f>
        <v>0</v>
      </c>
      <c r="I49" s="1">
        <f>1*I3</f>
        <v>0</v>
      </c>
      <c r="O49" s="1">
        <f t="shared" si="1"/>
        <v>0</v>
      </c>
      <c r="P49" s="12">
        <f t="shared" si="4"/>
        <v>0</v>
      </c>
    </row>
    <row r="50" spans="1:16" s="1" customFormat="1" ht="79" customHeight="1" x14ac:dyDescent="0.35">
      <c r="A50" s="14" t="s">
        <v>17</v>
      </c>
      <c r="B50" s="14" t="s">
        <v>64</v>
      </c>
      <c r="C50" s="10"/>
      <c r="D50" s="11">
        <v>10.497199999999999</v>
      </c>
      <c r="O50" s="1">
        <f t="shared" si="1"/>
        <v>0</v>
      </c>
      <c r="P50" s="12">
        <f t="shared" si="4"/>
        <v>0</v>
      </c>
    </row>
    <row r="51" spans="1:16" s="1" customFormat="1" ht="97" customHeight="1" x14ac:dyDescent="0.35">
      <c r="A51" s="14" t="s">
        <v>174</v>
      </c>
      <c r="B51" s="48" t="s">
        <v>190</v>
      </c>
      <c r="C51" s="10"/>
      <c r="D51" s="11">
        <v>8.6295999999999999</v>
      </c>
      <c r="E51" s="1">
        <f>2*E3</f>
        <v>0</v>
      </c>
      <c r="F51" s="1">
        <f>1*F3</f>
        <v>0</v>
      </c>
      <c r="G51" s="1">
        <f>2*G3</f>
        <v>0</v>
      </c>
      <c r="H51" s="1">
        <f>2*H3</f>
        <v>0</v>
      </c>
      <c r="I51" s="1">
        <f>1*I3</f>
        <v>0</v>
      </c>
      <c r="J51" s="1">
        <f>2*J3</f>
        <v>0</v>
      </c>
      <c r="O51" s="1">
        <f t="shared" si="1"/>
        <v>0</v>
      </c>
      <c r="P51" s="12">
        <f t="shared" si="4"/>
        <v>0</v>
      </c>
    </row>
    <row r="52" spans="1:16" s="1" customFormat="1" ht="64" customHeight="1" x14ac:dyDescent="0.35">
      <c r="A52" s="14" t="s">
        <v>175</v>
      </c>
      <c r="B52" s="48" t="s">
        <v>191</v>
      </c>
      <c r="C52" s="10"/>
      <c r="D52" s="11">
        <v>6.78</v>
      </c>
      <c r="O52" s="1">
        <f t="shared" si="1"/>
        <v>0</v>
      </c>
      <c r="P52" s="12">
        <f t="shared" si="4"/>
        <v>0</v>
      </c>
    </row>
    <row r="53" spans="1:16" s="1" customFormat="1" ht="68" customHeight="1" x14ac:dyDescent="0.35">
      <c r="A53" s="14" t="s">
        <v>18</v>
      </c>
      <c r="B53" s="14" t="s">
        <v>65</v>
      </c>
      <c r="C53" s="10"/>
      <c r="D53" s="11">
        <v>6.78</v>
      </c>
      <c r="O53" s="1">
        <f t="shared" si="1"/>
        <v>0</v>
      </c>
      <c r="P53" s="12">
        <f t="shared" si="4"/>
        <v>0</v>
      </c>
    </row>
    <row r="54" spans="1:16" s="1" customFormat="1" ht="32" x14ac:dyDescent="0.35">
      <c r="A54" s="14" t="s">
        <v>19</v>
      </c>
      <c r="B54" s="14" t="s">
        <v>66</v>
      </c>
      <c r="C54" s="10"/>
      <c r="D54" s="11">
        <v>2.6661599999999996</v>
      </c>
      <c r="H54" s="1">
        <f>4*H3</f>
        <v>0</v>
      </c>
      <c r="I54" s="1">
        <f>2*I3</f>
        <v>0</v>
      </c>
      <c r="J54" s="1">
        <f>4*J3</f>
        <v>0</v>
      </c>
      <c r="O54" s="1">
        <f t="shared" si="1"/>
        <v>0</v>
      </c>
      <c r="P54" s="12">
        <f t="shared" si="4"/>
        <v>0</v>
      </c>
    </row>
    <row r="55" spans="1:16" s="1" customFormat="1" ht="32" x14ac:dyDescent="0.35">
      <c r="A55" s="14" t="s">
        <v>20</v>
      </c>
      <c r="B55" s="14" t="s">
        <v>67</v>
      </c>
      <c r="C55" s="10"/>
      <c r="D55" s="11">
        <v>3.4389599999999998</v>
      </c>
      <c r="E55" s="1">
        <f>4*E3</f>
        <v>0</v>
      </c>
      <c r="F55" s="1">
        <f>2*F3</f>
        <v>0</v>
      </c>
      <c r="G55" s="1">
        <f>4*G3</f>
        <v>0</v>
      </c>
      <c r="O55" s="1">
        <f t="shared" si="1"/>
        <v>0</v>
      </c>
      <c r="P55" s="12">
        <f t="shared" si="4"/>
        <v>0</v>
      </c>
    </row>
    <row r="56" spans="1:16" s="1" customFormat="1" ht="32" x14ac:dyDescent="0.35">
      <c r="A56" s="14" t="s">
        <v>21</v>
      </c>
      <c r="B56" s="14" t="s">
        <v>131</v>
      </c>
      <c r="C56" s="10"/>
      <c r="D56" s="11">
        <v>3.4389599999999998</v>
      </c>
      <c r="O56" s="1">
        <f t="shared" si="1"/>
        <v>0</v>
      </c>
      <c r="P56" s="12">
        <f t="shared" si="4"/>
        <v>0</v>
      </c>
    </row>
    <row r="57" spans="1:16" s="1" customFormat="1" ht="32" x14ac:dyDescent="0.35">
      <c r="A57" s="14" t="s">
        <v>22</v>
      </c>
      <c r="B57" s="14" t="s">
        <v>70</v>
      </c>
      <c r="C57" s="10"/>
      <c r="D57" s="11">
        <v>0.15512465373961221</v>
      </c>
      <c r="E57" s="1">
        <f>4*E3</f>
        <v>0</v>
      </c>
      <c r="F57" s="1">
        <f>2*F3</f>
        <v>0</v>
      </c>
      <c r="G57" s="1">
        <f>4*G3</f>
        <v>0</v>
      </c>
      <c r="H57" s="1">
        <f>4*H3</f>
        <v>0</v>
      </c>
      <c r="I57" s="1">
        <f>2*I3</f>
        <v>0</v>
      </c>
      <c r="J57" s="1">
        <f>4*J3</f>
        <v>0</v>
      </c>
      <c r="O57" s="1">
        <f t="shared" si="1"/>
        <v>0</v>
      </c>
      <c r="P57" s="12">
        <f t="shared" si="4"/>
        <v>0</v>
      </c>
    </row>
    <row r="58" spans="1:16" s="1" customFormat="1" ht="32" x14ac:dyDescent="0.35">
      <c r="A58" s="14" t="s">
        <v>23</v>
      </c>
      <c r="B58" s="14" t="s">
        <v>69</v>
      </c>
      <c r="C58" s="10"/>
      <c r="D58" s="11">
        <v>0.27922437673130196</v>
      </c>
      <c r="E58" s="1">
        <f>4*E3</f>
        <v>0</v>
      </c>
      <c r="F58" s="1">
        <f>2*F3</f>
        <v>0</v>
      </c>
      <c r="G58" s="1">
        <f>4*G3</f>
        <v>0</v>
      </c>
      <c r="H58" s="1">
        <f>4*H3</f>
        <v>0</v>
      </c>
      <c r="I58" s="1">
        <f>2*I3</f>
        <v>0</v>
      </c>
      <c r="J58" s="1">
        <f>4*J3</f>
        <v>0</v>
      </c>
      <c r="O58" s="1">
        <f t="shared" si="1"/>
        <v>0</v>
      </c>
      <c r="P58" s="12">
        <f t="shared" si="4"/>
        <v>0</v>
      </c>
    </row>
    <row r="59" spans="1:16" s="1" customFormat="1" ht="64" x14ac:dyDescent="0.35">
      <c r="A59" s="14" t="s">
        <v>24</v>
      </c>
      <c r="B59" s="14" t="s">
        <v>68</v>
      </c>
      <c r="C59" s="10"/>
      <c r="D59" s="11">
        <v>0.12409972299168978</v>
      </c>
      <c r="E59" s="1">
        <f>4*E3</f>
        <v>0</v>
      </c>
      <c r="F59" s="1">
        <f>2*F3</f>
        <v>0</v>
      </c>
      <c r="G59" s="1">
        <f>4*G3</f>
        <v>0</v>
      </c>
      <c r="H59" s="1">
        <f>4*H3</f>
        <v>0</v>
      </c>
      <c r="I59" s="1">
        <f>2*I3</f>
        <v>0</v>
      </c>
      <c r="J59" s="1">
        <f>4*J3</f>
        <v>0</v>
      </c>
      <c r="O59" s="1">
        <f t="shared" si="1"/>
        <v>0</v>
      </c>
      <c r="P59" s="12">
        <f t="shared" si="4"/>
        <v>0</v>
      </c>
    </row>
    <row r="60" spans="1:16" s="1" customFormat="1" ht="64" x14ac:dyDescent="0.35">
      <c r="A60" s="14" t="s">
        <v>25</v>
      </c>
      <c r="B60" s="14" t="s">
        <v>71</v>
      </c>
      <c r="C60" s="10"/>
      <c r="D60" s="11">
        <v>3.1024930747922445E-2</v>
      </c>
      <c r="E60" s="1">
        <f>4*E3</f>
        <v>0</v>
      </c>
      <c r="F60" s="1">
        <f>2*F3</f>
        <v>0</v>
      </c>
      <c r="G60" s="1">
        <f>4*G3</f>
        <v>0</v>
      </c>
      <c r="H60" s="1">
        <f>4*H3</f>
        <v>0</v>
      </c>
      <c r="I60" s="1">
        <f>2*I3</f>
        <v>0</v>
      </c>
      <c r="J60" s="1">
        <f>4*J3</f>
        <v>0</v>
      </c>
      <c r="O60" s="1">
        <f t="shared" si="1"/>
        <v>0</v>
      </c>
      <c r="P60" s="12">
        <f t="shared" si="4"/>
        <v>0</v>
      </c>
    </row>
    <row r="61" spans="1:16" s="1" customFormat="1" ht="64" x14ac:dyDescent="0.35">
      <c r="A61" s="14" t="s">
        <v>26</v>
      </c>
      <c r="B61" s="14" t="s">
        <v>72</v>
      </c>
      <c r="C61" s="10"/>
      <c r="D61" s="11">
        <v>3.49</v>
      </c>
      <c r="O61" s="1">
        <f t="shared" si="1"/>
        <v>0</v>
      </c>
      <c r="P61" s="12">
        <f t="shared" si="4"/>
        <v>0</v>
      </c>
    </row>
    <row r="62" spans="1:16" s="1" customFormat="1" ht="160" x14ac:dyDescent="0.35">
      <c r="A62" s="14" t="s">
        <v>27</v>
      </c>
      <c r="B62" s="14" t="s">
        <v>73</v>
      </c>
      <c r="C62" s="10" t="s">
        <v>96</v>
      </c>
      <c r="D62" s="11">
        <v>4.8499999999999996</v>
      </c>
      <c r="G62" s="1">
        <f>1*G3</f>
        <v>0</v>
      </c>
      <c r="J62" s="1">
        <f>1*J3</f>
        <v>0</v>
      </c>
      <c r="O62" s="1">
        <f t="shared" si="1"/>
        <v>0</v>
      </c>
      <c r="P62" s="12">
        <f t="shared" si="4"/>
        <v>0</v>
      </c>
    </row>
    <row r="63" spans="1:16" s="1" customFormat="1" ht="160" x14ac:dyDescent="0.35">
      <c r="A63" s="14" t="s">
        <v>28</v>
      </c>
      <c r="B63" s="14" t="s">
        <v>74</v>
      </c>
      <c r="C63" s="10" t="s">
        <v>96</v>
      </c>
      <c r="D63" s="11">
        <v>6.8</v>
      </c>
      <c r="E63" s="1">
        <f>1*E3</f>
        <v>0</v>
      </c>
      <c r="F63" s="1">
        <f>1*F3</f>
        <v>0</v>
      </c>
      <c r="H63" s="1">
        <f>1*H3</f>
        <v>0</v>
      </c>
      <c r="I63" s="1">
        <f>1*I3</f>
        <v>0</v>
      </c>
      <c r="O63" s="1">
        <f t="shared" si="1"/>
        <v>0</v>
      </c>
      <c r="P63" s="12">
        <f t="shared" si="4"/>
        <v>0</v>
      </c>
    </row>
    <row r="64" spans="1:16" s="1" customFormat="1" ht="64" x14ac:dyDescent="0.35">
      <c r="A64" s="14" t="s">
        <v>29</v>
      </c>
      <c r="B64" s="14" t="s">
        <v>75</v>
      </c>
      <c r="C64" s="10"/>
      <c r="D64" s="11">
        <v>1.1399999999999999</v>
      </c>
      <c r="E64" s="1">
        <f>4*E3</f>
        <v>0</v>
      </c>
      <c r="F64" s="1">
        <f>2*F3</f>
        <v>0</v>
      </c>
      <c r="G64" s="1">
        <f>4*G3</f>
        <v>0</v>
      </c>
      <c r="H64" s="1">
        <f>4*H3</f>
        <v>0</v>
      </c>
      <c r="I64" s="1">
        <f>2*I3</f>
        <v>0</v>
      </c>
      <c r="J64" s="1">
        <f>4*J3</f>
        <v>0</v>
      </c>
      <c r="O64" s="1">
        <f t="shared" si="1"/>
        <v>0</v>
      </c>
      <c r="P64" s="12">
        <f t="shared" si="4"/>
        <v>0</v>
      </c>
    </row>
    <row r="65" spans="1:16" s="1" customFormat="1" ht="65" customHeight="1" x14ac:dyDescent="0.35">
      <c r="A65" s="14" t="s">
        <v>30</v>
      </c>
      <c r="B65" s="14" t="s">
        <v>76</v>
      </c>
      <c r="C65" s="10"/>
      <c r="D65" s="11">
        <v>1.22</v>
      </c>
      <c r="O65" s="1">
        <f t="shared" si="1"/>
        <v>0</v>
      </c>
      <c r="P65" s="12">
        <f t="shared" si="4"/>
        <v>0</v>
      </c>
    </row>
    <row r="66" spans="1:16" s="1" customFormat="1" ht="32" x14ac:dyDescent="0.35">
      <c r="A66" s="14" t="s">
        <v>31</v>
      </c>
      <c r="B66" s="14" t="s">
        <v>259</v>
      </c>
      <c r="C66" s="10"/>
      <c r="D66" s="11">
        <v>2.15</v>
      </c>
      <c r="O66" s="1">
        <f t="shared" si="1"/>
        <v>0</v>
      </c>
      <c r="P66" s="12">
        <f t="shared" si="4"/>
        <v>0</v>
      </c>
    </row>
    <row r="67" spans="1:16" s="1" customFormat="1" ht="64" x14ac:dyDescent="0.35">
      <c r="A67" s="14" t="s">
        <v>32</v>
      </c>
      <c r="B67" s="14" t="s">
        <v>77</v>
      </c>
      <c r="C67" s="10"/>
      <c r="D67" s="11">
        <v>5.5579999999999998</v>
      </c>
      <c r="O67" s="1">
        <f t="shared" si="1"/>
        <v>0</v>
      </c>
      <c r="P67" s="12">
        <f t="shared" si="4"/>
        <v>0</v>
      </c>
    </row>
    <row r="68" spans="1:16" s="1" customFormat="1" ht="64" x14ac:dyDescent="0.35">
      <c r="A68" s="14" t="s">
        <v>33</v>
      </c>
      <c r="B68" s="14" t="s">
        <v>78</v>
      </c>
      <c r="C68" s="10"/>
      <c r="D68" s="11">
        <v>5.5579999999999998</v>
      </c>
      <c r="O68" s="1">
        <f t="shared" si="1"/>
        <v>0</v>
      </c>
      <c r="P68" s="12">
        <f t="shared" ref="P68:P90" si="5">D68*O68</f>
        <v>0</v>
      </c>
    </row>
    <row r="69" spans="1:16" s="1" customFormat="1" ht="64" x14ac:dyDescent="0.35">
      <c r="A69" s="14" t="s">
        <v>176</v>
      </c>
      <c r="B69" s="14" t="s">
        <v>192</v>
      </c>
      <c r="C69" s="10"/>
      <c r="D69" s="11">
        <v>5.5579999999999998</v>
      </c>
      <c r="E69" s="1">
        <f>1*E3</f>
        <v>0</v>
      </c>
      <c r="G69" s="1">
        <f>1*G3</f>
        <v>0</v>
      </c>
      <c r="H69" s="1">
        <f>1*H3</f>
        <v>0</v>
      </c>
      <c r="J69" s="1">
        <f>1*J3</f>
        <v>0</v>
      </c>
      <c r="O69" s="1">
        <f t="shared" ref="O69:O90" si="6">SUM(E69:J69)</f>
        <v>0</v>
      </c>
      <c r="P69" s="12">
        <f t="shared" si="5"/>
        <v>0</v>
      </c>
    </row>
    <row r="70" spans="1:16" s="1" customFormat="1" ht="64" x14ac:dyDescent="0.35">
      <c r="A70" s="14" t="s">
        <v>177</v>
      </c>
      <c r="B70" s="14" t="s">
        <v>193</v>
      </c>
      <c r="C70" s="10"/>
      <c r="D70" s="11">
        <v>5.5579999999999998</v>
      </c>
      <c r="E70" s="1">
        <f>1*E3</f>
        <v>0</v>
      </c>
      <c r="G70" s="1">
        <f>1*G3</f>
        <v>0</v>
      </c>
      <c r="H70" s="1">
        <f>1*H3</f>
        <v>0</v>
      </c>
      <c r="J70" s="1">
        <f>1*J3</f>
        <v>0</v>
      </c>
      <c r="O70" s="1">
        <f t="shared" si="6"/>
        <v>0</v>
      </c>
      <c r="P70" s="12">
        <f t="shared" si="5"/>
        <v>0</v>
      </c>
    </row>
    <row r="71" spans="1:16" s="1" customFormat="1" ht="64" x14ac:dyDescent="0.35">
      <c r="A71" s="14" t="s">
        <v>178</v>
      </c>
      <c r="B71" s="14" t="s">
        <v>194</v>
      </c>
      <c r="C71" s="10"/>
      <c r="D71" s="11">
        <v>5.5579999999999998</v>
      </c>
      <c r="O71" s="1">
        <f t="shared" si="6"/>
        <v>0</v>
      </c>
      <c r="P71" s="12">
        <f t="shared" si="5"/>
        <v>0</v>
      </c>
    </row>
    <row r="72" spans="1:16" s="1" customFormat="1" ht="64" x14ac:dyDescent="0.35">
      <c r="A72" s="14" t="s">
        <v>179</v>
      </c>
      <c r="B72" s="14" t="s">
        <v>195</v>
      </c>
      <c r="C72" s="10"/>
      <c r="D72" s="11">
        <v>5.5579999999999998</v>
      </c>
      <c r="O72" s="1">
        <f t="shared" si="6"/>
        <v>0</v>
      </c>
      <c r="P72" s="12">
        <f t="shared" si="5"/>
        <v>0</v>
      </c>
    </row>
    <row r="73" spans="1:16" s="1" customFormat="1" ht="64" x14ac:dyDescent="0.35">
      <c r="A73" s="14" t="s">
        <v>34</v>
      </c>
      <c r="B73" s="14" t="s">
        <v>79</v>
      </c>
      <c r="C73" s="10"/>
      <c r="D73" s="11">
        <v>3.3879999999999999</v>
      </c>
      <c r="O73" s="1">
        <f t="shared" si="6"/>
        <v>0</v>
      </c>
      <c r="P73" s="12">
        <f t="shared" si="5"/>
        <v>0</v>
      </c>
    </row>
    <row r="74" spans="1:16" s="1" customFormat="1" ht="64" x14ac:dyDescent="0.35">
      <c r="A74" s="14" t="s">
        <v>35</v>
      </c>
      <c r="B74" s="14" t="s">
        <v>80</v>
      </c>
      <c r="C74" s="10"/>
      <c r="D74" s="11">
        <v>3.3879999999999999</v>
      </c>
      <c r="O74" s="1">
        <f t="shared" si="6"/>
        <v>0</v>
      </c>
      <c r="P74" s="12">
        <f t="shared" si="5"/>
        <v>0</v>
      </c>
    </row>
    <row r="75" spans="1:16" s="1" customFormat="1" ht="32" x14ac:dyDescent="0.35">
      <c r="A75" s="14" t="s">
        <v>36</v>
      </c>
      <c r="B75" s="14" t="s">
        <v>81</v>
      </c>
      <c r="C75" s="10"/>
      <c r="D75" s="11">
        <v>2.1280000000000001</v>
      </c>
      <c r="O75" s="1">
        <f t="shared" si="6"/>
        <v>0</v>
      </c>
      <c r="P75" s="12">
        <f t="shared" si="5"/>
        <v>0</v>
      </c>
    </row>
    <row r="76" spans="1:16" s="1" customFormat="1" ht="64" x14ac:dyDescent="0.35">
      <c r="A76" s="14" t="s">
        <v>37</v>
      </c>
      <c r="B76" s="14" t="s">
        <v>82</v>
      </c>
      <c r="C76" s="10"/>
      <c r="D76" s="11">
        <v>2.702</v>
      </c>
      <c r="O76" s="1">
        <f t="shared" si="6"/>
        <v>0</v>
      </c>
      <c r="P76" s="12">
        <f t="shared" si="5"/>
        <v>0</v>
      </c>
    </row>
    <row r="77" spans="1:16" s="1" customFormat="1" ht="64" x14ac:dyDescent="0.35">
      <c r="A77" s="14" t="s">
        <v>38</v>
      </c>
      <c r="B77" s="14" t="s">
        <v>83</v>
      </c>
      <c r="C77" s="10"/>
      <c r="D77" s="11">
        <v>0.68599999999999994</v>
      </c>
      <c r="H77" s="1">
        <f>2*H3</f>
        <v>0</v>
      </c>
      <c r="J77" s="1">
        <f t="shared" ref="J77" si="7">2*J3</f>
        <v>0</v>
      </c>
      <c r="O77" s="1">
        <f t="shared" si="6"/>
        <v>0</v>
      </c>
      <c r="P77" s="12">
        <f t="shared" si="5"/>
        <v>0</v>
      </c>
    </row>
    <row r="78" spans="1:16" s="1" customFormat="1" ht="64" x14ac:dyDescent="0.35">
      <c r="A78" s="14" t="s">
        <v>39</v>
      </c>
      <c r="B78" s="14" t="s">
        <v>84</v>
      </c>
      <c r="C78" s="10"/>
      <c r="D78" s="11">
        <v>0.68599999999999994</v>
      </c>
      <c r="H78" s="1">
        <f>2*H3</f>
        <v>0</v>
      </c>
      <c r="J78" s="1">
        <f t="shared" ref="J78" si="8">2*J3</f>
        <v>0</v>
      </c>
      <c r="O78" s="1">
        <f t="shared" si="6"/>
        <v>0</v>
      </c>
      <c r="P78" s="12">
        <f t="shared" si="5"/>
        <v>0</v>
      </c>
    </row>
    <row r="79" spans="1:16" s="1" customFormat="1" ht="64" x14ac:dyDescent="0.35">
      <c r="A79" s="14" t="s">
        <v>40</v>
      </c>
      <c r="B79" s="14" t="s">
        <v>85</v>
      </c>
      <c r="C79" s="10"/>
      <c r="D79" s="11">
        <v>0.98</v>
      </c>
      <c r="E79" s="1">
        <f>2*E3</f>
        <v>0</v>
      </c>
      <c r="G79" s="1">
        <f t="shared" ref="G79" si="9">2*G3</f>
        <v>0</v>
      </c>
      <c r="O79" s="1">
        <f t="shared" si="6"/>
        <v>0</v>
      </c>
      <c r="P79" s="12">
        <f t="shared" si="5"/>
        <v>0</v>
      </c>
    </row>
    <row r="80" spans="1:16" s="1" customFormat="1" ht="64" x14ac:dyDescent="0.35">
      <c r="A80" s="14" t="s">
        <v>41</v>
      </c>
      <c r="B80" s="15" t="s">
        <v>254</v>
      </c>
      <c r="C80" s="16"/>
      <c r="D80" s="11">
        <v>0.98</v>
      </c>
      <c r="E80" s="1">
        <f>2*E3</f>
        <v>0</v>
      </c>
      <c r="G80" s="1">
        <f t="shared" ref="G80" si="10">2*G3</f>
        <v>0</v>
      </c>
      <c r="O80" s="1">
        <f t="shared" si="6"/>
        <v>0</v>
      </c>
      <c r="P80" s="12">
        <f t="shared" si="5"/>
        <v>0</v>
      </c>
    </row>
    <row r="81" spans="1:16" s="1" customFormat="1" ht="64" x14ac:dyDescent="0.35">
      <c r="A81" s="14" t="s">
        <v>136</v>
      </c>
      <c r="B81" s="14" t="s">
        <v>132</v>
      </c>
      <c r="C81" s="10"/>
      <c r="D81" s="11">
        <v>0.98</v>
      </c>
      <c r="O81" s="1">
        <f t="shared" si="6"/>
        <v>0</v>
      </c>
      <c r="P81" s="12">
        <f t="shared" si="5"/>
        <v>0</v>
      </c>
    </row>
    <row r="82" spans="1:16" s="1" customFormat="1" ht="64" x14ac:dyDescent="0.35">
      <c r="A82" s="14" t="s">
        <v>137</v>
      </c>
      <c r="B82" s="15" t="s">
        <v>255</v>
      </c>
      <c r="C82" s="16"/>
      <c r="D82" s="11">
        <v>0.98</v>
      </c>
      <c r="O82" s="1">
        <f t="shared" si="6"/>
        <v>0</v>
      </c>
      <c r="P82" s="12">
        <f t="shared" si="5"/>
        <v>0</v>
      </c>
    </row>
    <row r="83" spans="1:16" s="1" customFormat="1" ht="128" x14ac:dyDescent="0.35">
      <c r="A83" s="10" t="s">
        <v>154</v>
      </c>
      <c r="B83" s="10" t="s">
        <v>155</v>
      </c>
      <c r="C83" s="10"/>
      <c r="D83" s="11">
        <v>19.137999999999998</v>
      </c>
      <c r="O83" s="1">
        <f t="shared" si="6"/>
        <v>0</v>
      </c>
      <c r="P83" s="12">
        <f t="shared" si="5"/>
        <v>0</v>
      </c>
    </row>
    <row r="84" spans="1:16" s="1" customFormat="1" ht="224" x14ac:dyDescent="0.35">
      <c r="A84" s="14" t="s">
        <v>156</v>
      </c>
      <c r="B84" s="14" t="s">
        <v>157</v>
      </c>
      <c r="C84" s="10" t="s">
        <v>158</v>
      </c>
      <c r="D84" s="11">
        <v>160.23000000000002</v>
      </c>
      <c r="O84" s="1">
        <f t="shared" si="6"/>
        <v>0</v>
      </c>
      <c r="P84" s="12">
        <f t="shared" si="5"/>
        <v>0</v>
      </c>
    </row>
    <row r="85" spans="1:16" s="1" customFormat="1" ht="192" x14ac:dyDescent="0.35">
      <c r="A85" s="14" t="s">
        <v>196</v>
      </c>
      <c r="B85" s="14" t="s">
        <v>159</v>
      </c>
      <c r="C85" s="10" t="s">
        <v>158</v>
      </c>
      <c r="D85" s="11">
        <v>207.94200000000001</v>
      </c>
      <c r="O85" s="1">
        <f t="shared" si="6"/>
        <v>0</v>
      </c>
      <c r="P85" s="12">
        <f t="shared" si="5"/>
        <v>0</v>
      </c>
    </row>
    <row r="86" spans="1:16" s="1" customFormat="1" ht="192" x14ac:dyDescent="0.35">
      <c r="A86" s="14" t="s">
        <v>197</v>
      </c>
      <c r="B86" s="14" t="s">
        <v>160</v>
      </c>
      <c r="C86" s="10" t="s">
        <v>158</v>
      </c>
      <c r="D86" s="11">
        <v>207.94200000000001</v>
      </c>
      <c r="O86" s="1">
        <f t="shared" si="6"/>
        <v>0</v>
      </c>
      <c r="P86" s="12">
        <f t="shared" si="5"/>
        <v>0</v>
      </c>
    </row>
    <row r="87" spans="1:16" s="1" customFormat="1" ht="128" x14ac:dyDescent="0.35">
      <c r="A87" s="14" t="s">
        <v>180</v>
      </c>
      <c r="B87" s="10" t="s">
        <v>181</v>
      </c>
      <c r="C87" s="10"/>
      <c r="D87" s="11">
        <v>0.75</v>
      </c>
      <c r="O87" s="1">
        <f t="shared" si="6"/>
        <v>0</v>
      </c>
      <c r="P87" s="12">
        <f t="shared" si="5"/>
        <v>0</v>
      </c>
    </row>
    <row r="88" spans="1:16" s="1" customFormat="1" ht="128" x14ac:dyDescent="0.35">
      <c r="A88" s="14" t="s">
        <v>182</v>
      </c>
      <c r="B88" s="10" t="s">
        <v>183</v>
      </c>
      <c r="C88" s="10"/>
      <c r="D88" s="11">
        <v>0.75</v>
      </c>
      <c r="O88" s="1">
        <f t="shared" si="6"/>
        <v>0</v>
      </c>
      <c r="P88" s="12">
        <f t="shared" si="5"/>
        <v>0</v>
      </c>
    </row>
    <row r="89" spans="1:16" s="1" customFormat="1" ht="128" x14ac:dyDescent="0.35">
      <c r="A89" s="14" t="s">
        <v>184</v>
      </c>
      <c r="B89" s="10" t="s">
        <v>185</v>
      </c>
      <c r="C89" s="10"/>
      <c r="D89" s="11">
        <v>0.75</v>
      </c>
      <c r="O89" s="1">
        <f t="shared" si="6"/>
        <v>0</v>
      </c>
      <c r="P89" s="12">
        <f t="shared" si="5"/>
        <v>0</v>
      </c>
    </row>
    <row r="90" spans="1:16" s="1" customFormat="1" ht="96" x14ac:dyDescent="0.35">
      <c r="A90" s="14" t="s">
        <v>186</v>
      </c>
      <c r="B90" s="14" t="s">
        <v>256</v>
      </c>
      <c r="C90" s="10"/>
      <c r="D90" s="11">
        <v>0.75</v>
      </c>
      <c r="O90" s="1">
        <f t="shared" si="6"/>
        <v>0</v>
      </c>
      <c r="P90" s="12">
        <f t="shared" si="5"/>
        <v>0</v>
      </c>
    </row>
    <row r="91" spans="1:16" ht="45" customHeight="1" x14ac:dyDescent="0.2"/>
    <row r="92" spans="1:16" s="24" customFormat="1" ht="111" customHeight="1" x14ac:dyDescent="0.2">
      <c r="O92" s="24" t="s">
        <v>114</v>
      </c>
      <c r="P92" s="63" t="e">
        <f>SUM(P4:P90)</f>
        <v>#VALUE!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550D-CC26-4F4E-B80A-276672FC5E7D}">
  <dimension ref="A1:AT90"/>
  <sheetViews>
    <sheetView zoomScale="75" zoomScaleNormal="75" workbookViewId="0">
      <selection activeCell="O4" sqref="O4"/>
    </sheetView>
  </sheetViews>
  <sheetFormatPr baseColWidth="10" defaultRowHeight="31" x14ac:dyDescent="0.35"/>
  <cols>
    <col min="1" max="1" width="52.5" customWidth="1"/>
    <col min="2" max="2" width="59" customWidth="1"/>
    <col min="3" max="3" width="44.83203125" customWidth="1"/>
    <col min="4" max="4" width="44" customWidth="1"/>
    <col min="5" max="5" width="68.33203125" hidden="1" customWidth="1"/>
    <col min="6" max="6" width="12.6640625" hidden="1" customWidth="1"/>
    <col min="7" max="7" width="0.1640625" hidden="1" customWidth="1"/>
    <col min="8" max="9" width="68.33203125" hidden="1" customWidth="1"/>
    <col min="10" max="10" width="58.6640625" hidden="1" customWidth="1"/>
    <col min="11" max="14" width="0.1640625" hidden="1" customWidth="1"/>
    <col min="15" max="15" width="49.5" style="61" customWidth="1"/>
    <col min="16" max="16" width="41.6640625" style="61" customWidth="1"/>
  </cols>
  <sheetData>
    <row r="1" spans="1:16" ht="64" x14ac:dyDescent="0.35">
      <c r="A1" s="2" t="s">
        <v>88</v>
      </c>
      <c r="B1" s="2" t="s">
        <v>89</v>
      </c>
      <c r="C1" s="3" t="s">
        <v>86</v>
      </c>
      <c r="D1" s="3" t="s">
        <v>87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x14ac:dyDescent="0.35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80" t="s">
        <v>153</v>
      </c>
      <c r="P2" s="80"/>
    </row>
    <row r="3" spans="1:16" x14ac:dyDescent="0.3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1" t="s">
        <v>222</v>
      </c>
      <c r="P3" s="61" t="s">
        <v>223</v>
      </c>
    </row>
    <row r="4" spans="1:16" ht="64" x14ac:dyDescent="0.35">
      <c r="A4" s="9" t="s">
        <v>108</v>
      </c>
      <c r="B4" s="9" t="s">
        <v>42</v>
      </c>
      <c r="C4" s="10"/>
      <c r="D4" s="11">
        <v>3.2071200000000002</v>
      </c>
      <c r="E4" s="66"/>
      <c r="F4" s="66"/>
      <c r="G4" s="66"/>
      <c r="H4" s="66"/>
      <c r="I4" s="66"/>
      <c r="J4" s="66"/>
      <c r="K4" s="66"/>
      <c r="L4" s="66"/>
      <c r="M4" s="66"/>
      <c r="N4" s="66"/>
    </row>
    <row r="5" spans="1:16" ht="64" x14ac:dyDescent="0.35">
      <c r="A5" s="9" t="s">
        <v>109</v>
      </c>
      <c r="B5" s="9" t="s">
        <v>43</v>
      </c>
      <c r="C5" s="10"/>
      <c r="D5" s="11">
        <v>4.1087199999999999</v>
      </c>
      <c r="E5" s="66"/>
      <c r="F5" s="66"/>
      <c r="G5" s="66"/>
      <c r="H5" s="66"/>
      <c r="I5" s="66"/>
      <c r="J5" s="66"/>
      <c r="K5" s="66"/>
      <c r="L5" s="66"/>
      <c r="M5" s="66"/>
      <c r="N5" s="66"/>
    </row>
    <row r="6" spans="1:16" ht="64" x14ac:dyDescent="0.35">
      <c r="A6" s="9" t="s">
        <v>110</v>
      </c>
      <c r="B6" s="9" t="s">
        <v>44</v>
      </c>
      <c r="C6" s="10"/>
      <c r="D6" s="11">
        <v>3.47</v>
      </c>
      <c r="E6" s="66"/>
      <c r="F6" s="66"/>
      <c r="G6" s="66"/>
      <c r="H6" s="66"/>
      <c r="I6" s="66"/>
      <c r="J6" s="66"/>
      <c r="K6" s="66"/>
      <c r="L6" s="66"/>
      <c r="M6" s="66"/>
      <c r="N6" s="66"/>
    </row>
    <row r="7" spans="1:16" ht="64" x14ac:dyDescent="0.35">
      <c r="A7" s="9" t="s">
        <v>111</v>
      </c>
      <c r="B7" s="9" t="s">
        <v>45</v>
      </c>
      <c r="C7" s="10"/>
      <c r="D7" s="11">
        <v>4.2699999999999996</v>
      </c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1:16" ht="64" x14ac:dyDescent="0.35">
      <c r="A8" s="9" t="s">
        <v>112</v>
      </c>
      <c r="B8" s="9" t="s">
        <v>46</v>
      </c>
      <c r="C8" s="10"/>
      <c r="D8" s="11">
        <v>6.23</v>
      </c>
      <c r="E8" s="66"/>
      <c r="F8" s="66"/>
      <c r="G8" s="66"/>
      <c r="H8" s="66"/>
      <c r="I8" s="66"/>
      <c r="J8" s="66"/>
      <c r="K8" s="66"/>
      <c r="L8" s="66"/>
      <c r="M8" s="66"/>
      <c r="N8" s="66"/>
    </row>
    <row r="9" spans="1:16" ht="64" x14ac:dyDescent="0.35">
      <c r="A9" s="9" t="s">
        <v>113</v>
      </c>
      <c r="B9" s="9" t="s">
        <v>47</v>
      </c>
      <c r="C9" s="10"/>
      <c r="D9" s="11">
        <v>7.6579999999999995</v>
      </c>
      <c r="E9" s="66"/>
      <c r="F9" s="66"/>
      <c r="G9" s="66"/>
      <c r="H9" s="66"/>
      <c r="I9" s="66"/>
      <c r="J9" s="66"/>
      <c r="K9" s="66"/>
      <c r="L9" s="66"/>
      <c r="M9" s="66"/>
      <c r="N9" s="66"/>
    </row>
    <row r="10" spans="1:16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</row>
    <row r="11" spans="1:16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</row>
    <row r="12" spans="1:16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</row>
    <row r="13" spans="1:16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</row>
    <row r="14" spans="1:16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6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</row>
    <row r="16" spans="1:16" ht="128" x14ac:dyDescent="0.2">
      <c r="A16" s="9" t="s">
        <v>310</v>
      </c>
      <c r="B16" s="9" t="s">
        <v>306</v>
      </c>
      <c r="C16" s="10" t="s">
        <v>91</v>
      </c>
      <c r="D16" s="11">
        <v>4.0571999999999999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</row>
    <row r="17" spans="1:46" ht="128" x14ac:dyDescent="0.2">
      <c r="A17" s="9" t="s">
        <v>311</v>
      </c>
      <c r="B17" s="9" t="s">
        <v>307</v>
      </c>
      <c r="C17" s="10" t="s">
        <v>91</v>
      </c>
      <c r="D17" s="11">
        <v>4.0571999999999999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</row>
    <row r="18" spans="1:46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</row>
    <row r="19" spans="1:46" ht="83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</row>
    <row r="20" spans="1:46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</row>
    <row r="21" spans="1:46" ht="96" x14ac:dyDescent="0.2">
      <c r="A21" s="9" t="s">
        <v>5</v>
      </c>
      <c r="B21" s="9" t="s">
        <v>53</v>
      </c>
      <c r="C21" s="10" t="s">
        <v>90</v>
      </c>
      <c r="D21" s="11">
        <v>5.3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spans="1:46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46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</row>
    <row r="24" spans="1:46" ht="64" x14ac:dyDescent="0.2">
      <c r="A24" s="9" t="s">
        <v>162</v>
      </c>
      <c r="B24" s="9" t="s">
        <v>163</v>
      </c>
      <c r="C24" s="10"/>
      <c r="D24" s="11">
        <v>0.24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</row>
    <row r="25" spans="1:46" ht="64" x14ac:dyDescent="0.2">
      <c r="A25" s="9" t="s">
        <v>164</v>
      </c>
      <c r="B25" s="9" t="s">
        <v>165</v>
      </c>
      <c r="C25" s="10"/>
      <c r="D25" s="11">
        <v>0.17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</row>
    <row r="26" spans="1:46" ht="96" x14ac:dyDescent="0.2">
      <c r="A26" s="14" t="s">
        <v>166</v>
      </c>
      <c r="B26" s="14" t="s">
        <v>167</v>
      </c>
      <c r="C26" s="10"/>
      <c r="D26" s="11">
        <v>7.2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</row>
    <row r="27" spans="1:46" ht="96" x14ac:dyDescent="0.2">
      <c r="A27" s="78" t="s">
        <v>316</v>
      </c>
      <c r="B27" s="14" t="s">
        <v>169</v>
      </c>
      <c r="C27" s="10"/>
      <c r="D27" s="11">
        <v>7.2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</row>
    <row r="28" spans="1:46" ht="96" x14ac:dyDescent="0.2">
      <c r="A28" s="78" t="s">
        <v>314</v>
      </c>
      <c r="B28" s="14" t="s">
        <v>315</v>
      </c>
      <c r="C28" s="10"/>
      <c r="D28" s="11">
        <v>7.2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</row>
    <row r="29" spans="1:46" ht="145" customHeight="1" x14ac:dyDescent="0.2">
      <c r="A29" s="14" t="s">
        <v>170</v>
      </c>
      <c r="B29" s="14" t="s">
        <v>171</v>
      </c>
      <c r="C29" s="10"/>
      <c r="D29" s="11">
        <v>7.2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</row>
    <row r="30" spans="1:46" ht="145" customHeight="1" x14ac:dyDescent="0.2">
      <c r="A30" s="78" t="s">
        <v>312</v>
      </c>
      <c r="B30" s="14" t="s">
        <v>173</v>
      </c>
      <c r="C30" s="10"/>
      <c r="D30" s="11">
        <v>7.2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</row>
    <row r="31" spans="1:46" ht="134" customHeight="1" x14ac:dyDescent="0.2">
      <c r="A31" s="14" t="s">
        <v>172</v>
      </c>
      <c r="B31" s="14" t="s">
        <v>173</v>
      </c>
      <c r="C31" s="10"/>
      <c r="D31" s="11">
        <v>7.2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</row>
    <row r="32" spans="1:46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</row>
    <row r="33" spans="1:14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</row>
    <row r="34" spans="1:14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</row>
    <row r="35" spans="1:14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</row>
    <row r="36" spans="1:14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</row>
    <row r="37" spans="1:14" ht="96" x14ac:dyDescent="0.2">
      <c r="A37" s="9" t="s">
        <v>143</v>
      </c>
      <c r="B37" s="9" t="s">
        <v>152</v>
      </c>
      <c r="C37" s="10" t="s">
        <v>9</v>
      </c>
      <c r="D37" s="11">
        <v>6.6220000000000008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</row>
    <row r="38" spans="1:14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1:14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</row>
    <row r="40" spans="1:14" ht="64" x14ac:dyDescent="0.2">
      <c r="A40" s="9" t="s">
        <v>117</v>
      </c>
      <c r="B40" s="9" t="s">
        <v>98</v>
      </c>
      <c r="C40" s="10" t="s">
        <v>9</v>
      </c>
      <c r="D40" s="11">
        <v>7.22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</row>
    <row r="41" spans="1:14" ht="96" x14ac:dyDescent="0.2">
      <c r="A41" s="9" t="s">
        <v>11</v>
      </c>
      <c r="B41" s="9" t="s">
        <v>57</v>
      </c>
      <c r="C41" s="10" t="s">
        <v>9</v>
      </c>
      <c r="D41" s="11">
        <v>5.16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</row>
    <row r="42" spans="1:14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</row>
    <row r="43" spans="1:14" ht="64" x14ac:dyDescent="0.2">
      <c r="A43" s="9" t="s">
        <v>115</v>
      </c>
      <c r="B43" s="9" t="s">
        <v>58</v>
      </c>
      <c r="C43" s="10" t="s">
        <v>9</v>
      </c>
      <c r="D43" s="11">
        <v>7.22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</row>
    <row r="44" spans="1:14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</row>
    <row r="45" spans="1:14" ht="96" x14ac:dyDescent="0.2">
      <c r="A45" s="9" t="s">
        <v>13</v>
      </c>
      <c r="B45" s="9" t="s">
        <v>60</v>
      </c>
      <c r="C45" s="10"/>
      <c r="D45" s="11">
        <v>0.73</v>
      </c>
      <c r="E45" s="66"/>
      <c r="F45" s="66"/>
      <c r="G45" s="66"/>
      <c r="H45" s="66"/>
      <c r="I45" s="66"/>
      <c r="J45" s="66"/>
      <c r="K45" s="66"/>
      <c r="L45" s="66"/>
      <c r="M45" s="66"/>
      <c r="N45" s="66"/>
    </row>
    <row r="46" spans="1:14" ht="96" x14ac:dyDescent="0.2">
      <c r="A46" s="9" t="s">
        <v>135</v>
      </c>
      <c r="B46" s="9" t="s">
        <v>134</v>
      </c>
      <c r="C46" s="10"/>
      <c r="D46" s="11">
        <v>0.73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</row>
    <row r="47" spans="1:14" ht="96" x14ac:dyDescent="0.2">
      <c r="A47" s="14" t="s">
        <v>14</v>
      </c>
      <c r="B47" s="14" t="s">
        <v>61</v>
      </c>
      <c r="C47" s="10"/>
      <c r="D47" s="11">
        <v>1.8620000000000001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</row>
    <row r="48" spans="1:14" ht="64" x14ac:dyDescent="0.2">
      <c r="A48" s="14" t="s">
        <v>15</v>
      </c>
      <c r="B48" s="14" t="s">
        <v>62</v>
      </c>
      <c r="C48" s="10"/>
      <c r="D48" s="11">
        <v>0.96600000000000008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</row>
    <row r="49" spans="1:46" ht="64" x14ac:dyDescent="0.2">
      <c r="A49" s="14" t="s">
        <v>16</v>
      </c>
      <c r="B49" s="14" t="s">
        <v>63</v>
      </c>
      <c r="C49" s="10"/>
      <c r="D49" s="11">
        <v>0.83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</row>
    <row r="50" spans="1:46" ht="32" x14ac:dyDescent="0.2">
      <c r="A50" s="14" t="s">
        <v>17</v>
      </c>
      <c r="B50" s="14" t="s">
        <v>64</v>
      </c>
      <c r="C50" s="10"/>
      <c r="D50" s="11">
        <v>10.497199999999999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</row>
    <row r="51" spans="1:46" ht="47" x14ac:dyDescent="0.2">
      <c r="A51" s="14" t="s">
        <v>174</v>
      </c>
      <c r="B51" s="14" t="s">
        <v>190</v>
      </c>
      <c r="C51" s="10"/>
      <c r="D51" s="11">
        <v>8.6295999999999999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</row>
    <row r="52" spans="1:46" ht="47" x14ac:dyDescent="0.2">
      <c r="A52" s="14" t="s">
        <v>175</v>
      </c>
      <c r="B52" s="14" t="s">
        <v>191</v>
      </c>
      <c r="C52" s="10"/>
      <c r="D52" s="11">
        <v>6.78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</row>
    <row r="53" spans="1:46" ht="32" x14ac:dyDescent="0.2">
      <c r="A53" s="14" t="s">
        <v>18</v>
      </c>
      <c r="B53" s="14" t="s">
        <v>65</v>
      </c>
      <c r="C53" s="10"/>
      <c r="D53" s="11">
        <v>6.78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</row>
    <row r="54" spans="1:46" ht="32" x14ac:dyDescent="0.2">
      <c r="A54" s="14" t="s">
        <v>19</v>
      </c>
      <c r="B54" s="14" t="s">
        <v>66</v>
      </c>
      <c r="C54" s="10"/>
      <c r="D54" s="11">
        <v>2.6661599999999996</v>
      </c>
      <c r="E54" s="66"/>
      <c r="F54" s="66"/>
      <c r="G54" s="66"/>
      <c r="H54" s="66"/>
      <c r="I54" s="66"/>
      <c r="J54" s="66"/>
      <c r="K54" s="66"/>
      <c r="L54" s="66"/>
      <c r="M54" s="66"/>
      <c r="N54" s="66"/>
    </row>
    <row r="55" spans="1:46" ht="32" x14ac:dyDescent="0.2">
      <c r="A55" s="14" t="s">
        <v>20</v>
      </c>
      <c r="B55" s="14" t="s">
        <v>67</v>
      </c>
      <c r="C55" s="10"/>
      <c r="D55" s="11">
        <v>3.4389599999999998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</row>
    <row r="56" spans="1:46" ht="32" x14ac:dyDescent="0.2">
      <c r="A56" s="14" t="s">
        <v>21</v>
      </c>
      <c r="B56" s="14" t="s">
        <v>131</v>
      </c>
      <c r="C56" s="10"/>
      <c r="D56" s="11">
        <v>3.4389599999999998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</row>
    <row r="57" spans="1:46" ht="64" x14ac:dyDescent="0.2">
      <c r="A57" s="14" t="s">
        <v>22</v>
      </c>
      <c r="B57" s="14" t="s">
        <v>70</v>
      </c>
      <c r="C57" s="10"/>
      <c r="D57" s="11">
        <v>0.15512465373961221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</row>
    <row r="58" spans="1:46" ht="64" x14ac:dyDescent="0.2">
      <c r="A58" s="14" t="s">
        <v>23</v>
      </c>
      <c r="B58" s="14" t="s">
        <v>69</v>
      </c>
      <c r="C58" s="10"/>
      <c r="D58" s="11">
        <v>0.27922437673130196</v>
      </c>
      <c r="E58" s="66"/>
      <c r="F58" s="66"/>
      <c r="G58" s="66"/>
      <c r="H58" s="66"/>
      <c r="I58" s="66"/>
      <c r="J58" s="66"/>
      <c r="K58" s="66"/>
      <c r="L58" s="66"/>
      <c r="M58" s="66"/>
      <c r="N58" s="66"/>
    </row>
    <row r="59" spans="1:46" ht="64" x14ac:dyDescent="0.2">
      <c r="A59" s="14" t="s">
        <v>24</v>
      </c>
      <c r="B59" s="14" t="s">
        <v>68</v>
      </c>
      <c r="C59" s="10"/>
      <c r="D59" s="11">
        <v>0.12409972299168978</v>
      </c>
      <c r="E59" s="66"/>
      <c r="F59" s="66"/>
      <c r="G59" s="66"/>
      <c r="H59" s="66"/>
      <c r="I59" s="66"/>
      <c r="J59" s="66"/>
      <c r="K59" s="66"/>
      <c r="L59" s="66"/>
      <c r="M59" s="66"/>
      <c r="N59" s="66"/>
    </row>
    <row r="60" spans="1:46" ht="64" x14ac:dyDescent="0.2">
      <c r="A60" s="14" t="s">
        <v>25</v>
      </c>
      <c r="B60" s="14" t="s">
        <v>71</v>
      </c>
      <c r="C60" s="10"/>
      <c r="D60" s="11">
        <v>3.1024930747922445E-2</v>
      </c>
      <c r="E60" s="66"/>
      <c r="F60" s="66"/>
      <c r="G60" s="66"/>
      <c r="H60" s="66"/>
      <c r="I60" s="66"/>
      <c r="J60" s="66"/>
      <c r="K60" s="66"/>
      <c r="L60" s="66"/>
      <c r="M60" s="66"/>
      <c r="N60" s="66"/>
    </row>
    <row r="61" spans="1:46" ht="64" x14ac:dyDescent="0.2">
      <c r="A61" s="14" t="s">
        <v>26</v>
      </c>
      <c r="B61" s="14" t="s">
        <v>72</v>
      </c>
      <c r="C61" s="10"/>
      <c r="D61" s="11">
        <v>3.49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</row>
    <row r="62" spans="1:46" ht="192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66"/>
      <c r="F62" s="66"/>
      <c r="G62" s="66"/>
      <c r="H62" s="66"/>
      <c r="I62" s="66"/>
      <c r="J62" s="66"/>
      <c r="K62" s="66"/>
      <c r="L62" s="66"/>
      <c r="M62" s="66"/>
      <c r="N62" s="66"/>
    </row>
    <row r="63" spans="1:46" ht="192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</row>
    <row r="64" spans="1:46" ht="64" x14ac:dyDescent="0.2">
      <c r="A64" s="14" t="s">
        <v>29</v>
      </c>
      <c r="B64" s="14" t="s">
        <v>75</v>
      </c>
      <c r="C64" s="10"/>
      <c r="D64" s="11">
        <v>1.1399999999999999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</row>
    <row r="65" spans="1:46" ht="64" x14ac:dyDescent="0.2">
      <c r="A65" s="14" t="s">
        <v>30</v>
      </c>
      <c r="B65" s="14" t="s">
        <v>76</v>
      </c>
      <c r="C65" s="10"/>
      <c r="D65" s="11">
        <v>1.22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</row>
    <row r="66" spans="1:46" ht="64" x14ac:dyDescent="0.2">
      <c r="A66" s="14" t="s">
        <v>31</v>
      </c>
      <c r="B66" s="14" t="s">
        <v>259</v>
      </c>
      <c r="C66" s="10"/>
      <c r="D66" s="11">
        <v>2.15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</row>
    <row r="67" spans="1:46" ht="96" x14ac:dyDescent="0.2">
      <c r="A67" s="14" t="s">
        <v>32</v>
      </c>
      <c r="B67" s="14" t="s">
        <v>77</v>
      </c>
      <c r="C67" s="10"/>
      <c r="D67" s="11">
        <v>5.5579999999999998</v>
      </c>
      <c r="E67" s="66"/>
      <c r="F67" s="66"/>
      <c r="G67" s="66"/>
      <c r="H67" s="66"/>
      <c r="I67" s="66"/>
      <c r="J67" s="66"/>
      <c r="K67" s="66"/>
      <c r="L67" s="66"/>
      <c r="M67" s="66"/>
      <c r="N67" s="66"/>
    </row>
    <row r="68" spans="1:46" ht="96" x14ac:dyDescent="0.2">
      <c r="A68" s="14" t="s">
        <v>33</v>
      </c>
      <c r="B68" s="14" t="s">
        <v>78</v>
      </c>
      <c r="C68" s="10"/>
      <c r="D68" s="11">
        <v>5.5579999999999998</v>
      </c>
      <c r="E68" s="66"/>
      <c r="F68" s="66"/>
      <c r="G68" s="66"/>
      <c r="H68" s="66"/>
      <c r="I68" s="66"/>
      <c r="J68" s="66"/>
      <c r="K68" s="66"/>
      <c r="L68" s="66"/>
      <c r="M68" s="66"/>
      <c r="N68" s="66"/>
    </row>
    <row r="69" spans="1:46" ht="96" x14ac:dyDescent="0.2">
      <c r="A69" s="14" t="s">
        <v>176</v>
      </c>
      <c r="B69" s="14" t="s">
        <v>192</v>
      </c>
      <c r="C69" s="10"/>
      <c r="D69" s="11">
        <v>5.5579999999999998</v>
      </c>
      <c r="E69" s="66"/>
      <c r="F69" s="66"/>
      <c r="G69" s="66"/>
      <c r="H69" s="66"/>
      <c r="I69" s="66"/>
      <c r="J69" s="66"/>
      <c r="K69" s="66"/>
      <c r="L69" s="66"/>
      <c r="M69" s="66"/>
      <c r="N69" s="66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</row>
    <row r="70" spans="1:46" ht="96" x14ac:dyDescent="0.2">
      <c r="A70" s="14" t="s">
        <v>177</v>
      </c>
      <c r="B70" s="14" t="s">
        <v>193</v>
      </c>
      <c r="C70" s="10"/>
      <c r="D70" s="11">
        <v>5.5579999999999998</v>
      </c>
      <c r="E70" s="66"/>
      <c r="F70" s="66"/>
      <c r="G70" s="66"/>
      <c r="H70" s="66"/>
      <c r="I70" s="66"/>
      <c r="J70" s="66"/>
      <c r="K70" s="66"/>
      <c r="L70" s="66"/>
      <c r="M70" s="66"/>
      <c r="N70" s="66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</row>
    <row r="71" spans="1:46" ht="96" x14ac:dyDescent="0.2">
      <c r="A71" s="14" t="s">
        <v>178</v>
      </c>
      <c r="B71" s="14" t="s">
        <v>194</v>
      </c>
      <c r="C71" s="10"/>
      <c r="D71" s="11">
        <v>5.5579999999999998</v>
      </c>
      <c r="E71" s="66"/>
      <c r="F71" s="66"/>
      <c r="G71" s="66"/>
      <c r="H71" s="66"/>
      <c r="I71" s="66"/>
      <c r="J71" s="66"/>
      <c r="K71" s="66"/>
      <c r="L71" s="66"/>
      <c r="M71" s="66"/>
      <c r="N71" s="66"/>
    </row>
    <row r="72" spans="1:46" ht="96" x14ac:dyDescent="0.2">
      <c r="A72" s="14" t="s">
        <v>179</v>
      </c>
      <c r="B72" s="14" t="s">
        <v>195</v>
      </c>
      <c r="C72" s="10"/>
      <c r="D72" s="11">
        <v>5.5579999999999998</v>
      </c>
      <c r="E72" s="66"/>
      <c r="F72" s="66"/>
      <c r="G72" s="66"/>
      <c r="H72" s="66"/>
      <c r="I72" s="66"/>
      <c r="J72" s="66"/>
      <c r="K72" s="66"/>
      <c r="L72" s="66"/>
      <c r="M72" s="66"/>
      <c r="N72" s="66"/>
    </row>
    <row r="73" spans="1:46" ht="96" x14ac:dyDescent="0.2">
      <c r="A73" s="14" t="s">
        <v>34</v>
      </c>
      <c r="B73" s="14" t="s">
        <v>79</v>
      </c>
      <c r="C73" s="10"/>
      <c r="D73" s="11">
        <v>3.3879999999999999</v>
      </c>
      <c r="E73" s="66"/>
      <c r="F73" s="66"/>
      <c r="G73" s="66"/>
      <c r="H73" s="66"/>
      <c r="I73" s="66"/>
      <c r="J73" s="66"/>
      <c r="K73" s="66"/>
      <c r="L73" s="66"/>
      <c r="M73" s="66"/>
      <c r="N73" s="66"/>
    </row>
    <row r="74" spans="1:46" ht="96" x14ac:dyDescent="0.2">
      <c r="A74" s="14" t="s">
        <v>35</v>
      </c>
      <c r="B74" s="14" t="s">
        <v>80</v>
      </c>
      <c r="C74" s="10"/>
      <c r="D74" s="11">
        <v>3.3879999999999999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</row>
    <row r="75" spans="1:46" ht="64" x14ac:dyDescent="0.2">
      <c r="A75" s="14" t="s">
        <v>36</v>
      </c>
      <c r="B75" s="14" t="s">
        <v>81</v>
      </c>
      <c r="C75" s="10"/>
      <c r="D75" s="11">
        <v>2.1280000000000001</v>
      </c>
      <c r="E75" s="66"/>
      <c r="F75" s="66"/>
      <c r="G75" s="66"/>
      <c r="H75" s="66"/>
      <c r="I75" s="66"/>
      <c r="J75" s="66"/>
      <c r="K75" s="66"/>
      <c r="L75" s="66"/>
      <c r="M75" s="66"/>
      <c r="N75" s="66"/>
    </row>
    <row r="76" spans="1:46" ht="64" x14ac:dyDescent="0.2">
      <c r="A76" s="14" t="s">
        <v>37</v>
      </c>
      <c r="B76" s="14" t="s">
        <v>82</v>
      </c>
      <c r="C76" s="10"/>
      <c r="D76" s="11">
        <v>2.702</v>
      </c>
      <c r="E76" s="66"/>
      <c r="F76" s="66"/>
      <c r="G76" s="66"/>
      <c r="H76" s="66"/>
      <c r="I76" s="66"/>
      <c r="J76" s="66"/>
      <c r="K76" s="66"/>
      <c r="L76" s="66"/>
      <c r="M76" s="66"/>
      <c r="N76" s="66"/>
    </row>
    <row r="77" spans="1:46" ht="96" x14ac:dyDescent="0.2">
      <c r="A77" s="14" t="s">
        <v>38</v>
      </c>
      <c r="B77" s="14" t="s">
        <v>83</v>
      </c>
      <c r="C77" s="10"/>
      <c r="D77" s="11">
        <v>0.68599999999999994</v>
      </c>
      <c r="E77" s="66"/>
      <c r="F77" s="66"/>
      <c r="G77" s="66"/>
      <c r="H77" s="66"/>
      <c r="I77" s="66"/>
      <c r="J77" s="66"/>
      <c r="K77" s="66"/>
      <c r="L77" s="66"/>
      <c r="M77" s="66"/>
      <c r="N77" s="66"/>
    </row>
    <row r="78" spans="1:46" ht="96" x14ac:dyDescent="0.2">
      <c r="A78" s="14" t="s">
        <v>39</v>
      </c>
      <c r="B78" s="14" t="s">
        <v>84</v>
      </c>
      <c r="C78" s="10"/>
      <c r="D78" s="11">
        <v>0.68599999999999994</v>
      </c>
      <c r="E78" s="66"/>
      <c r="F78" s="66"/>
      <c r="G78" s="66"/>
      <c r="H78" s="66"/>
      <c r="I78" s="66"/>
      <c r="J78" s="66"/>
      <c r="K78" s="66"/>
      <c r="L78" s="66"/>
      <c r="M78" s="66"/>
      <c r="N78" s="66"/>
    </row>
    <row r="79" spans="1:46" ht="96" x14ac:dyDescent="0.2">
      <c r="A79" s="14" t="s">
        <v>40</v>
      </c>
      <c r="B79" s="14" t="s">
        <v>85</v>
      </c>
      <c r="C79" s="10"/>
      <c r="D79" s="11">
        <v>0.98</v>
      </c>
      <c r="E79" s="66"/>
      <c r="F79" s="66"/>
      <c r="G79" s="66"/>
      <c r="H79" s="66"/>
      <c r="I79" s="66"/>
      <c r="J79" s="66"/>
      <c r="K79" s="66"/>
      <c r="L79" s="66"/>
      <c r="M79" s="66"/>
      <c r="N79" s="66"/>
    </row>
    <row r="80" spans="1:46" ht="96" x14ac:dyDescent="0.2">
      <c r="A80" s="14" t="s">
        <v>41</v>
      </c>
      <c r="B80" s="15" t="s">
        <v>254</v>
      </c>
      <c r="C80" s="16"/>
      <c r="D80" s="11">
        <v>0.98</v>
      </c>
      <c r="E80" s="66"/>
      <c r="F80" s="66"/>
      <c r="G80" s="66"/>
      <c r="H80" s="66"/>
      <c r="I80" s="66"/>
      <c r="J80" s="66"/>
      <c r="K80" s="66"/>
      <c r="L80" s="66"/>
      <c r="M80" s="66"/>
      <c r="N80" s="66"/>
    </row>
    <row r="81" spans="1:46" ht="96" x14ac:dyDescent="0.2">
      <c r="A81" s="14" t="s">
        <v>136</v>
      </c>
      <c r="B81" s="14" t="s">
        <v>132</v>
      </c>
      <c r="C81" s="10"/>
      <c r="D81" s="11">
        <v>0.98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</row>
    <row r="82" spans="1:46" ht="96" x14ac:dyDescent="0.2">
      <c r="A82" s="14" t="s">
        <v>137</v>
      </c>
      <c r="B82" s="14" t="s">
        <v>133</v>
      </c>
      <c r="C82" s="10"/>
      <c r="D82" s="11">
        <v>0.68599999999999994</v>
      </c>
      <c r="E82" s="66"/>
      <c r="F82" s="66"/>
      <c r="G82" s="66"/>
      <c r="H82" s="66"/>
      <c r="I82" s="66"/>
      <c r="J82" s="66"/>
      <c r="K82" s="66"/>
      <c r="L82" s="66"/>
      <c r="M82" s="66"/>
      <c r="N82" s="66"/>
    </row>
    <row r="83" spans="1:46" ht="128" x14ac:dyDescent="0.2">
      <c r="A83" s="10" t="s">
        <v>154</v>
      </c>
      <c r="B83" s="10" t="s">
        <v>155</v>
      </c>
      <c r="C83" s="10"/>
      <c r="D83" s="11">
        <v>19.137999999999998</v>
      </c>
      <c r="E83" s="66"/>
      <c r="F83" s="66"/>
      <c r="G83" s="66"/>
      <c r="H83" s="66"/>
      <c r="I83" s="66"/>
      <c r="J83" s="66"/>
      <c r="K83" s="66"/>
      <c r="L83" s="66"/>
      <c r="M83" s="66"/>
      <c r="N83" s="66"/>
      <c r="Q83" s="21"/>
      <c r="R83" s="21"/>
      <c r="S83" s="21"/>
      <c r="T83" s="21"/>
      <c r="U83" s="5"/>
      <c r="V83" s="25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</row>
    <row r="84" spans="1:46" ht="320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66"/>
      <c r="F84" s="66"/>
      <c r="G84" s="66"/>
      <c r="H84" s="66"/>
      <c r="I84" s="66"/>
      <c r="J84" s="66"/>
      <c r="K84" s="66"/>
      <c r="L84" s="66"/>
      <c r="M84" s="66"/>
      <c r="N84" s="66"/>
      <c r="Q84" s="21"/>
      <c r="R84" s="21"/>
      <c r="S84" s="21"/>
      <c r="T84" s="21"/>
      <c r="U84" s="5"/>
      <c r="V84" s="25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</row>
    <row r="85" spans="1:46" ht="320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66"/>
      <c r="F85" s="66"/>
      <c r="G85" s="66"/>
      <c r="H85" s="66"/>
      <c r="I85" s="66"/>
      <c r="J85" s="66"/>
      <c r="K85" s="66"/>
      <c r="L85" s="66"/>
      <c r="M85" s="66"/>
      <c r="N85" s="66"/>
      <c r="Q85" s="21"/>
      <c r="R85" s="21"/>
      <c r="S85" s="21"/>
      <c r="T85" s="21"/>
      <c r="U85" s="5"/>
      <c r="V85" s="25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</row>
    <row r="86" spans="1:46" ht="320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66"/>
      <c r="F86" s="66"/>
      <c r="G86" s="66"/>
      <c r="H86" s="66"/>
      <c r="I86" s="66"/>
      <c r="J86" s="66"/>
      <c r="K86" s="66"/>
      <c r="L86" s="66"/>
      <c r="M86" s="66"/>
      <c r="N86" s="66"/>
      <c r="Q86" s="21"/>
      <c r="R86" s="21"/>
      <c r="S86" s="21"/>
      <c r="T86" s="21"/>
      <c r="U86" s="5"/>
      <c r="V86" s="25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</row>
    <row r="87" spans="1:46" ht="128" x14ac:dyDescent="0.2">
      <c r="A87" s="14" t="s">
        <v>180</v>
      </c>
      <c r="B87" s="10" t="s">
        <v>181</v>
      </c>
      <c r="C87" s="10"/>
      <c r="D87" s="11">
        <v>0.75</v>
      </c>
      <c r="E87" s="66"/>
      <c r="F87" s="66"/>
      <c r="G87" s="66"/>
      <c r="H87" s="66"/>
      <c r="I87" s="66"/>
      <c r="J87" s="66"/>
      <c r="K87" s="66"/>
      <c r="L87" s="66"/>
      <c r="M87" s="66"/>
      <c r="N87" s="66"/>
      <c r="U87" s="5"/>
      <c r="V87" s="25"/>
    </row>
    <row r="88" spans="1:46" ht="128" x14ac:dyDescent="0.2">
      <c r="A88" s="14" t="s">
        <v>182</v>
      </c>
      <c r="B88" s="10" t="s">
        <v>183</v>
      </c>
      <c r="C88" s="10"/>
      <c r="D88" s="11">
        <v>0.75</v>
      </c>
      <c r="E88" s="66"/>
      <c r="F88" s="66"/>
      <c r="G88" s="66"/>
      <c r="H88" s="66"/>
      <c r="I88" s="66"/>
      <c r="J88" s="66"/>
      <c r="K88" s="66"/>
      <c r="L88" s="66"/>
      <c r="M88" s="66"/>
      <c r="N88" s="66"/>
      <c r="U88" s="5"/>
      <c r="V88" s="25"/>
    </row>
    <row r="89" spans="1:46" ht="128" x14ac:dyDescent="0.2">
      <c r="A89" s="14" t="s">
        <v>184</v>
      </c>
      <c r="B89" s="10" t="s">
        <v>185</v>
      </c>
      <c r="C89" s="10"/>
      <c r="D89" s="11">
        <v>0.75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U89" s="5"/>
      <c r="V89" s="25"/>
    </row>
    <row r="90" spans="1:46" ht="128" x14ac:dyDescent="0.2">
      <c r="A90" s="14" t="s">
        <v>186</v>
      </c>
      <c r="B90" s="14" t="s">
        <v>256</v>
      </c>
      <c r="C90" s="10"/>
      <c r="D90" s="11">
        <v>0.75</v>
      </c>
      <c r="E90" s="66"/>
      <c r="F90" s="66"/>
      <c r="G90" s="66"/>
      <c r="H90" s="66"/>
      <c r="I90" s="66"/>
      <c r="J90" s="66"/>
      <c r="K90" s="66"/>
      <c r="L90" s="66"/>
      <c r="M90" s="66"/>
      <c r="N90" s="66"/>
      <c r="U90" s="5"/>
      <c r="V90" s="25"/>
    </row>
  </sheetData>
  <mergeCells count="1">
    <mergeCell ref="O2:P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E394-8078-704B-9BEB-1149AAF864D8}">
  <dimension ref="A1:AK92"/>
  <sheetViews>
    <sheetView zoomScale="60" zoomScaleNormal="75" workbookViewId="0">
      <selection activeCell="C86" sqref="C86"/>
    </sheetView>
  </sheetViews>
  <sheetFormatPr baseColWidth="10" defaultRowHeight="31" x14ac:dyDescent="0.35"/>
  <cols>
    <col min="1" max="1" width="52.5" customWidth="1"/>
    <col min="2" max="2" width="59" customWidth="1"/>
    <col min="3" max="3" width="44.83203125" customWidth="1"/>
    <col min="4" max="5" width="68.33203125" customWidth="1"/>
    <col min="6" max="6" width="49.5" style="61" customWidth="1"/>
    <col min="7" max="7" width="41.6640625" style="61" customWidth="1"/>
    <col min="8" max="8" width="46.83203125" style="1" customWidth="1"/>
    <col min="9" max="9" width="36.83203125" style="1" customWidth="1"/>
    <col min="10" max="11" width="10.83203125" style="1"/>
  </cols>
  <sheetData>
    <row r="1" spans="1:11" ht="64" x14ac:dyDescent="0.35">
      <c r="A1" s="2" t="s">
        <v>88</v>
      </c>
      <c r="B1" s="2" t="s">
        <v>89</v>
      </c>
      <c r="C1" s="3" t="s">
        <v>86</v>
      </c>
      <c r="D1" s="3" t="s">
        <v>87</v>
      </c>
      <c r="E1" s="3" t="s">
        <v>321</v>
      </c>
    </row>
    <row r="2" spans="1:11" x14ac:dyDescent="0.35">
      <c r="A2" s="2"/>
      <c r="B2" s="2"/>
      <c r="C2" s="3"/>
      <c r="D2" s="3"/>
      <c r="E2" s="3"/>
      <c r="F2" s="80" t="s">
        <v>153</v>
      </c>
      <c r="G2" s="80"/>
    </row>
    <row r="3" spans="1:11" s="79" customFormat="1" x14ac:dyDescent="0.2">
      <c r="A3" s="2"/>
      <c r="B3" s="2"/>
      <c r="C3" s="3"/>
      <c r="D3" s="3"/>
      <c r="E3" s="3"/>
      <c r="F3" s="51" t="s">
        <v>222</v>
      </c>
      <c r="G3" s="51" t="s">
        <v>223</v>
      </c>
      <c r="H3" s="51" t="s">
        <v>322</v>
      </c>
      <c r="I3" s="51" t="s">
        <v>323</v>
      </c>
      <c r="J3" s="51"/>
      <c r="K3" s="51"/>
    </row>
    <row r="4" spans="1:11" ht="64" x14ac:dyDescent="0.35">
      <c r="A4" s="9" t="s">
        <v>108</v>
      </c>
      <c r="B4" s="9" t="s">
        <v>42</v>
      </c>
      <c r="C4" s="10"/>
      <c r="D4" s="11">
        <v>3.2071200000000002</v>
      </c>
      <c r="E4" s="66"/>
      <c r="F4" s="61">
        <f>SUM(DEBUT:FIN!O4)</f>
        <v>0</v>
      </c>
      <c r="G4" s="61">
        <f>SUM(BLANCDEBUT:BLANCFIN!O4)</f>
        <v>0</v>
      </c>
      <c r="H4" s="12">
        <f t="shared" ref="H4:H35" si="0">(F4 +G4)*D4</f>
        <v>0</v>
      </c>
      <c r="I4" s="12">
        <f>(F4+G4)*E4</f>
        <v>0</v>
      </c>
    </row>
    <row r="5" spans="1:11" ht="64" x14ac:dyDescent="0.35">
      <c r="A5" s="9" t="s">
        <v>109</v>
      </c>
      <c r="B5" s="9" t="s">
        <v>43</v>
      </c>
      <c r="C5" s="10"/>
      <c r="D5" s="11">
        <v>4.1087199999999999</v>
      </c>
      <c r="E5" s="66"/>
      <c r="F5" s="61">
        <f>SUM(DEBUT:FIN!O5)</f>
        <v>0</v>
      </c>
      <c r="G5" s="61">
        <f>SUM(BLANCDEBUT:BLANCFIN!O5)</f>
        <v>0</v>
      </c>
      <c r="H5" s="12">
        <f t="shared" si="0"/>
        <v>0</v>
      </c>
      <c r="I5" s="12">
        <f t="shared" ref="I5:I68" si="1">(F5+G5)*E5</f>
        <v>0</v>
      </c>
    </row>
    <row r="6" spans="1:11" ht="64" x14ac:dyDescent="0.35">
      <c r="A6" s="9" t="s">
        <v>110</v>
      </c>
      <c r="B6" s="9" t="s">
        <v>44</v>
      </c>
      <c r="C6" s="10"/>
      <c r="D6" s="11">
        <v>3.47</v>
      </c>
      <c r="E6" s="66"/>
      <c r="F6" s="61">
        <f>SUM(DEBUT:FIN!O6)</f>
        <v>0</v>
      </c>
      <c r="G6" s="61">
        <f>SUM(BLANCDEBUT:BLANCFIN!O6)</f>
        <v>0</v>
      </c>
      <c r="H6" s="12">
        <f t="shared" si="0"/>
        <v>0</v>
      </c>
      <c r="I6" s="12">
        <f t="shared" si="1"/>
        <v>0</v>
      </c>
    </row>
    <row r="7" spans="1:11" ht="64" x14ac:dyDescent="0.35">
      <c r="A7" s="9" t="s">
        <v>111</v>
      </c>
      <c r="B7" s="9" t="s">
        <v>45</v>
      </c>
      <c r="C7" s="10"/>
      <c r="D7" s="11">
        <v>4.2699999999999996</v>
      </c>
      <c r="E7" s="66"/>
      <c r="F7" s="61">
        <f>SUM(DEBUT:FIN!O7)</f>
        <v>0</v>
      </c>
      <c r="G7" s="61">
        <f>SUM(BLANCDEBUT:BLANCFIN!O7)</f>
        <v>0</v>
      </c>
      <c r="H7" s="12">
        <f t="shared" si="0"/>
        <v>0</v>
      </c>
      <c r="I7" s="12">
        <f t="shared" si="1"/>
        <v>0</v>
      </c>
    </row>
    <row r="8" spans="1:11" ht="64" x14ac:dyDescent="0.35">
      <c r="A8" s="9" t="s">
        <v>112</v>
      </c>
      <c r="B8" s="9" t="s">
        <v>46</v>
      </c>
      <c r="C8" s="10"/>
      <c r="D8" s="11">
        <v>6.23</v>
      </c>
      <c r="E8" s="66"/>
      <c r="F8" s="61">
        <f>SUM(DEBUT:FIN!O8)</f>
        <v>0</v>
      </c>
      <c r="G8" s="61">
        <f>SUM(BLANCDEBUT:BLANCFIN!O8)</f>
        <v>0</v>
      </c>
      <c r="H8" s="12">
        <f t="shared" si="0"/>
        <v>0</v>
      </c>
      <c r="I8" s="12">
        <f t="shared" si="1"/>
        <v>0</v>
      </c>
    </row>
    <row r="9" spans="1:11" ht="64" x14ac:dyDescent="0.35">
      <c r="A9" s="9" t="s">
        <v>113</v>
      </c>
      <c r="B9" s="9" t="s">
        <v>47</v>
      </c>
      <c r="C9" s="10"/>
      <c r="D9" s="11">
        <v>7.6579999999999995</v>
      </c>
      <c r="E9" s="66"/>
      <c r="F9" s="61">
        <f>SUM(DEBUT:FIN!O9)</f>
        <v>0</v>
      </c>
      <c r="G9" s="61">
        <f>SUM(BLANCDEBUT:BLANCFIN!O9)</f>
        <v>0</v>
      </c>
      <c r="H9" s="12">
        <f t="shared" si="0"/>
        <v>0</v>
      </c>
      <c r="I9" s="12">
        <f t="shared" si="1"/>
        <v>0</v>
      </c>
    </row>
    <row r="10" spans="1:11" ht="96" x14ac:dyDescent="0.35">
      <c r="A10" s="9" t="s">
        <v>2</v>
      </c>
      <c r="B10" s="9" t="s">
        <v>48</v>
      </c>
      <c r="C10" s="10" t="s">
        <v>90</v>
      </c>
      <c r="D10" s="11">
        <v>2.4472</v>
      </c>
      <c r="E10" s="66"/>
      <c r="F10" s="61">
        <f>SUM(DEBUT:FIN!O10)</f>
        <v>0</v>
      </c>
      <c r="G10" s="61">
        <f>SUM(BLANCDEBUT:BLANCFIN!O10)</f>
        <v>0</v>
      </c>
      <c r="H10" s="12">
        <f t="shared" si="0"/>
        <v>0</v>
      </c>
      <c r="I10" s="12">
        <f t="shared" si="1"/>
        <v>0</v>
      </c>
    </row>
    <row r="11" spans="1:11" ht="96" x14ac:dyDescent="0.35">
      <c r="A11" s="9" t="s">
        <v>3</v>
      </c>
      <c r="B11" s="9" t="s">
        <v>49</v>
      </c>
      <c r="C11" s="10" t="s">
        <v>90</v>
      </c>
      <c r="D11" s="11">
        <v>3.3874399999999998</v>
      </c>
      <c r="E11" s="66"/>
      <c r="F11" s="61">
        <f>SUM(DEBUT:FIN!O11)</f>
        <v>0</v>
      </c>
      <c r="G11" s="61">
        <f>SUM(BLANCDEBUT:BLANCFIN!O11)</f>
        <v>0</v>
      </c>
      <c r="H11" s="12">
        <f t="shared" si="0"/>
        <v>0</v>
      </c>
      <c r="I11" s="12">
        <f t="shared" si="1"/>
        <v>0</v>
      </c>
    </row>
    <row r="12" spans="1:11" ht="128" x14ac:dyDescent="0.35">
      <c r="A12" s="9" t="s">
        <v>3</v>
      </c>
      <c r="B12" s="9" t="s">
        <v>50</v>
      </c>
      <c r="C12" s="10" t="s">
        <v>91</v>
      </c>
      <c r="D12" s="11">
        <v>3.3874399999999998</v>
      </c>
      <c r="E12" s="66"/>
      <c r="F12" s="61">
        <f>SUM(DEBUT:FIN!O12)</f>
        <v>0</v>
      </c>
      <c r="G12" s="61">
        <f>SUM(BLANCDEBUT:BLANCFIN!O12)</f>
        <v>0</v>
      </c>
      <c r="H12" s="12">
        <f t="shared" si="0"/>
        <v>0</v>
      </c>
      <c r="I12" s="12">
        <f t="shared" si="1"/>
        <v>0</v>
      </c>
    </row>
    <row r="13" spans="1:11" ht="128" x14ac:dyDescent="0.35">
      <c r="A13" s="9" t="s">
        <v>4</v>
      </c>
      <c r="B13" s="9" t="s">
        <v>51</v>
      </c>
      <c r="C13" s="10" t="s">
        <v>91</v>
      </c>
      <c r="D13" s="11">
        <v>4.0571999999999999</v>
      </c>
      <c r="E13" s="66"/>
      <c r="F13" s="61">
        <f>SUM(DEBUT:FIN!O13)</f>
        <v>0</v>
      </c>
      <c r="G13" s="61">
        <f>SUM(BLANCDEBUT:BLANCFIN!O13)</f>
        <v>0</v>
      </c>
      <c r="H13" s="12">
        <f t="shared" si="0"/>
        <v>0</v>
      </c>
      <c r="I13" s="12">
        <f t="shared" si="1"/>
        <v>0</v>
      </c>
    </row>
    <row r="14" spans="1:11" ht="128" x14ac:dyDescent="0.35">
      <c r="A14" s="9" t="s">
        <v>308</v>
      </c>
      <c r="B14" s="9" t="s">
        <v>304</v>
      </c>
      <c r="C14" s="10" t="s">
        <v>91</v>
      </c>
      <c r="D14" s="11">
        <v>4.0571999999999999</v>
      </c>
      <c r="E14" s="66"/>
      <c r="F14" s="61">
        <f>SUM(DEBUT:FIN!O14)</f>
        <v>0</v>
      </c>
      <c r="G14" s="61">
        <f>SUM(BLANCDEBUT:BLANCFIN!O14)</f>
        <v>0</v>
      </c>
      <c r="H14" s="12">
        <f t="shared" si="0"/>
        <v>0</v>
      </c>
      <c r="I14" s="12">
        <f t="shared" si="1"/>
        <v>0</v>
      </c>
    </row>
    <row r="15" spans="1:11" ht="128" x14ac:dyDescent="0.35">
      <c r="A15" s="9" t="s">
        <v>309</v>
      </c>
      <c r="B15" s="9" t="s">
        <v>305</v>
      </c>
      <c r="C15" s="10" t="s">
        <v>91</v>
      </c>
      <c r="D15" s="11">
        <v>4.0571999999999999</v>
      </c>
      <c r="E15" s="66"/>
      <c r="F15" s="61">
        <f>SUM(DEBUT:FIN!O15)</f>
        <v>0</v>
      </c>
      <c r="G15" s="61">
        <f>SUM(BLANCDEBUT:BLANCFIN!O15)</f>
        <v>0</v>
      </c>
      <c r="H15" s="12">
        <f t="shared" si="0"/>
        <v>0</v>
      </c>
      <c r="I15" s="12">
        <f t="shared" si="1"/>
        <v>0</v>
      </c>
    </row>
    <row r="16" spans="1:11" ht="128" x14ac:dyDescent="0.35">
      <c r="A16" s="9" t="s">
        <v>310</v>
      </c>
      <c r="B16" s="9" t="s">
        <v>306</v>
      </c>
      <c r="C16" s="10" t="s">
        <v>91</v>
      </c>
      <c r="D16" s="11">
        <v>4.0571999999999999</v>
      </c>
      <c r="E16" s="66"/>
      <c r="F16" s="61">
        <f>SUM(DEBUT:FIN!O16)</f>
        <v>0</v>
      </c>
      <c r="G16" s="61">
        <f>SUM(BLANCDEBUT:BLANCFIN!O16)</f>
        <v>0</v>
      </c>
      <c r="H16" s="12">
        <f t="shared" si="0"/>
        <v>0</v>
      </c>
      <c r="I16" s="12">
        <f t="shared" si="1"/>
        <v>0</v>
      </c>
    </row>
    <row r="17" spans="1:37" ht="128" x14ac:dyDescent="0.35">
      <c r="A17" s="9" t="s">
        <v>311</v>
      </c>
      <c r="B17" s="9" t="s">
        <v>307</v>
      </c>
      <c r="C17" s="10" t="s">
        <v>91</v>
      </c>
      <c r="D17" s="11">
        <v>4.0571999999999999</v>
      </c>
      <c r="E17" s="66"/>
      <c r="F17" s="61">
        <f>SUM(DEBUT:FIN!O17)</f>
        <v>0</v>
      </c>
      <c r="G17" s="61">
        <f>SUM(BLANCDEBUT:BLANCFIN!O17)</f>
        <v>0</v>
      </c>
      <c r="H17" s="12">
        <f t="shared" si="0"/>
        <v>0</v>
      </c>
      <c r="I17" s="12">
        <f t="shared" si="1"/>
        <v>0</v>
      </c>
    </row>
    <row r="18" spans="1:37" ht="96" x14ac:dyDescent="0.2">
      <c r="A18" s="9" t="s">
        <v>103</v>
      </c>
      <c r="B18" s="9" t="s">
        <v>104</v>
      </c>
      <c r="C18" s="10" t="s">
        <v>90</v>
      </c>
      <c r="D18" s="11">
        <v>4.0571999999999999</v>
      </c>
      <c r="E18" s="66"/>
      <c r="F18" s="61">
        <f>SUM(DEBUT:FIN!O18)</f>
        <v>0</v>
      </c>
      <c r="G18" s="61">
        <f>SUM(BLANCDEBUT:BLANCFIN!O18)</f>
        <v>0</v>
      </c>
      <c r="H18" s="12">
        <f t="shared" si="0"/>
        <v>0</v>
      </c>
      <c r="I18" s="12">
        <f t="shared" si="1"/>
        <v>0</v>
      </c>
    </row>
    <row r="19" spans="1:37" ht="83" customHeight="1" x14ac:dyDescent="0.2">
      <c r="A19" s="9" t="s">
        <v>207</v>
      </c>
      <c r="B19" s="9" t="s">
        <v>208</v>
      </c>
      <c r="C19" s="10" t="s">
        <v>90</v>
      </c>
      <c r="D19" s="11">
        <v>4.0571999999999999</v>
      </c>
      <c r="E19" s="66"/>
      <c r="F19" s="61">
        <f>SUM(DEBUT:FIN!O19)</f>
        <v>0</v>
      </c>
      <c r="G19" s="61">
        <f>SUM(BLANCDEBUT:BLANCFIN!O19)</f>
        <v>0</v>
      </c>
      <c r="H19" s="12">
        <f t="shared" si="0"/>
        <v>0</v>
      </c>
      <c r="I19" s="12">
        <f t="shared" si="1"/>
        <v>0</v>
      </c>
    </row>
    <row r="20" spans="1:37" ht="96" x14ac:dyDescent="0.2">
      <c r="A20" s="9" t="s">
        <v>4</v>
      </c>
      <c r="B20" s="9" t="s">
        <v>52</v>
      </c>
      <c r="C20" s="10" t="s">
        <v>90</v>
      </c>
      <c r="D20" s="11">
        <v>4.0571999999999999</v>
      </c>
      <c r="E20" s="66"/>
      <c r="F20" s="61">
        <f>SUM(DEBUT:FIN!O20)</f>
        <v>0</v>
      </c>
      <c r="G20" s="61">
        <f>SUM(BLANCDEBUT:BLANCFIN!O20)</f>
        <v>0</v>
      </c>
      <c r="H20" s="12">
        <f t="shared" si="0"/>
        <v>0</v>
      </c>
      <c r="I20" s="12">
        <f t="shared" si="1"/>
        <v>0</v>
      </c>
    </row>
    <row r="21" spans="1:37" ht="96" x14ac:dyDescent="0.2">
      <c r="A21" s="9" t="s">
        <v>5</v>
      </c>
      <c r="B21" s="9" t="s">
        <v>53</v>
      </c>
      <c r="C21" s="10" t="s">
        <v>90</v>
      </c>
      <c r="D21" s="11">
        <v>5.3</v>
      </c>
      <c r="E21" s="66"/>
      <c r="F21" s="61">
        <f>SUM(DEBUT:FIN!O21)</f>
        <v>0</v>
      </c>
      <c r="G21" s="61">
        <f>SUM(BLANCDEBUT:BLANCFIN!O21)</f>
        <v>0</v>
      </c>
      <c r="H21" s="12">
        <f t="shared" si="0"/>
        <v>0</v>
      </c>
      <c r="I21" s="12">
        <f t="shared" si="1"/>
        <v>0</v>
      </c>
    </row>
    <row r="22" spans="1:37" ht="128" x14ac:dyDescent="0.2">
      <c r="A22" s="9" t="s">
        <v>202</v>
      </c>
      <c r="B22" s="9" t="s">
        <v>198</v>
      </c>
      <c r="C22" s="10" t="s">
        <v>92</v>
      </c>
      <c r="D22" s="11">
        <v>5.3065600000000011</v>
      </c>
      <c r="E22" s="66"/>
      <c r="F22" s="61">
        <f>SUM(DEBUT:FIN!O22)</f>
        <v>0</v>
      </c>
      <c r="G22" s="61">
        <f>SUM(BLANCDEBUT:BLANCFIN!O22)</f>
        <v>0</v>
      </c>
      <c r="H22" s="12">
        <f t="shared" si="0"/>
        <v>0</v>
      </c>
      <c r="I22" s="12">
        <f t="shared" si="1"/>
        <v>0</v>
      </c>
    </row>
    <row r="23" spans="1:37" ht="128" x14ac:dyDescent="0.2">
      <c r="A23" s="9" t="s">
        <v>200</v>
      </c>
      <c r="B23" s="9" t="s">
        <v>161</v>
      </c>
      <c r="C23" s="10" t="s">
        <v>92</v>
      </c>
      <c r="D23" s="11">
        <v>5.3065600000000011</v>
      </c>
      <c r="E23" s="66"/>
      <c r="F23" s="61">
        <f>SUM(DEBUT:FIN!O23)</f>
        <v>0</v>
      </c>
      <c r="G23" s="61">
        <f>SUM(BLANCDEBUT:BLANCFIN!O23)</f>
        <v>0</v>
      </c>
      <c r="H23" s="12">
        <f t="shared" si="0"/>
        <v>0</v>
      </c>
      <c r="I23" s="12">
        <f t="shared" si="1"/>
        <v>0</v>
      </c>
      <c r="J23" s="5"/>
      <c r="K23" s="5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1:37" ht="64" x14ac:dyDescent="0.2">
      <c r="A24" s="9" t="s">
        <v>162</v>
      </c>
      <c r="B24" s="9" t="s">
        <v>163</v>
      </c>
      <c r="C24" s="10"/>
      <c r="D24" s="11">
        <v>0.24</v>
      </c>
      <c r="E24" s="66"/>
      <c r="F24" s="61">
        <f>SUM(DEBUT:FIN!O24)</f>
        <v>0</v>
      </c>
      <c r="G24" s="61">
        <f>SUM(BLANCDEBUT:BLANCFIN!O24)</f>
        <v>0</v>
      </c>
      <c r="H24" s="12">
        <f t="shared" si="0"/>
        <v>0</v>
      </c>
      <c r="I24" s="12">
        <f t="shared" si="1"/>
        <v>0</v>
      </c>
      <c r="J24" s="5"/>
      <c r="K24" s="5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</row>
    <row r="25" spans="1:37" ht="64" x14ac:dyDescent="0.2">
      <c r="A25" s="9" t="s">
        <v>164</v>
      </c>
      <c r="B25" s="9" t="s">
        <v>165</v>
      </c>
      <c r="C25" s="10"/>
      <c r="D25" s="11">
        <v>0.17</v>
      </c>
      <c r="E25" s="66"/>
      <c r="F25" s="61">
        <f>SUM(DEBUT:FIN!O25)</f>
        <v>0</v>
      </c>
      <c r="G25" s="61">
        <f>SUM(BLANCDEBUT:BLANCFIN!O25)</f>
        <v>0</v>
      </c>
      <c r="H25" s="12">
        <f t="shared" si="0"/>
        <v>0</v>
      </c>
      <c r="I25" s="12">
        <f t="shared" si="1"/>
        <v>0</v>
      </c>
      <c r="J25" s="5"/>
      <c r="K25" s="5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</row>
    <row r="26" spans="1:37" ht="96" x14ac:dyDescent="0.2">
      <c r="A26" s="14" t="s">
        <v>166</v>
      </c>
      <c r="B26" s="14" t="s">
        <v>167</v>
      </c>
      <c r="C26" s="10"/>
      <c r="D26" s="11">
        <v>7.2</v>
      </c>
      <c r="E26" s="66"/>
      <c r="F26" s="61">
        <f>SUM(DEBUT:FIN!O26)</f>
        <v>0</v>
      </c>
      <c r="G26" s="61">
        <f>SUM(BLANCDEBUT:BLANCFIN!O26)</f>
        <v>0</v>
      </c>
      <c r="H26" s="12">
        <f t="shared" si="0"/>
        <v>0</v>
      </c>
      <c r="I26" s="12">
        <f t="shared" si="1"/>
        <v>0</v>
      </c>
      <c r="J26" s="5"/>
      <c r="K26" s="5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</row>
    <row r="27" spans="1:37" ht="96" x14ac:dyDescent="0.2">
      <c r="A27" s="78" t="s">
        <v>316</v>
      </c>
      <c r="B27" s="14" t="s">
        <v>169</v>
      </c>
      <c r="C27" s="10"/>
      <c r="D27" s="11">
        <v>7.2</v>
      </c>
      <c r="E27" s="66"/>
      <c r="F27" s="61">
        <f>SUM(DEBUT:FIN!O27)</f>
        <v>0</v>
      </c>
      <c r="G27" s="61">
        <f>SUM(BLANCDEBUT:BLANCFIN!O27)</f>
        <v>0</v>
      </c>
      <c r="H27" s="12">
        <f t="shared" si="0"/>
        <v>0</v>
      </c>
      <c r="I27" s="12">
        <f t="shared" si="1"/>
        <v>0</v>
      </c>
      <c r="J27" s="5"/>
      <c r="K27" s="5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</row>
    <row r="28" spans="1:37" ht="96" x14ac:dyDescent="0.2">
      <c r="A28" s="78" t="s">
        <v>314</v>
      </c>
      <c r="B28" s="14" t="s">
        <v>315</v>
      </c>
      <c r="C28" s="10"/>
      <c r="D28" s="11">
        <v>7.2</v>
      </c>
      <c r="E28" s="66"/>
      <c r="F28" s="61">
        <f>SUM(DEBUT:FIN!O28)</f>
        <v>0</v>
      </c>
      <c r="G28" s="61">
        <f>SUM(BLANCDEBUT:BLANCFIN!O28)</f>
        <v>0</v>
      </c>
      <c r="H28" s="12">
        <f t="shared" si="0"/>
        <v>0</v>
      </c>
      <c r="I28" s="12">
        <f t="shared" si="1"/>
        <v>0</v>
      </c>
      <c r="J28" s="5"/>
      <c r="K28" s="5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 spans="1:37" ht="145" customHeight="1" x14ac:dyDescent="0.2">
      <c r="A29" s="14" t="s">
        <v>170</v>
      </c>
      <c r="B29" s="14" t="s">
        <v>171</v>
      </c>
      <c r="C29" s="10"/>
      <c r="D29" s="11">
        <v>7.2</v>
      </c>
      <c r="E29" s="66"/>
      <c r="F29" s="61">
        <f>SUM(DEBUT:FIN!O29)</f>
        <v>0</v>
      </c>
      <c r="G29" s="61">
        <f>SUM(BLANCDEBUT:BLANCFIN!O29)</f>
        <v>0</v>
      </c>
      <c r="H29" s="12">
        <f t="shared" si="0"/>
        <v>0</v>
      </c>
      <c r="I29" s="12">
        <f t="shared" si="1"/>
        <v>0</v>
      </c>
      <c r="J29" s="5"/>
      <c r="K29" s="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</row>
    <row r="30" spans="1:37" ht="145" customHeight="1" x14ac:dyDescent="0.2">
      <c r="A30" s="78" t="s">
        <v>312</v>
      </c>
      <c r="B30" s="14" t="s">
        <v>173</v>
      </c>
      <c r="C30" s="10"/>
      <c r="D30" s="11">
        <v>7.2</v>
      </c>
      <c r="E30" s="66"/>
      <c r="F30" s="61">
        <f>SUM(DEBUT:FIN!O30)</f>
        <v>0</v>
      </c>
      <c r="G30" s="61">
        <f>SUM(BLANCDEBUT:BLANCFIN!O30)</f>
        <v>0</v>
      </c>
      <c r="H30" s="12">
        <f t="shared" si="0"/>
        <v>0</v>
      </c>
      <c r="I30" s="12">
        <f t="shared" si="1"/>
        <v>0</v>
      </c>
      <c r="J30" s="5"/>
      <c r="K30" s="5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</row>
    <row r="31" spans="1:37" ht="134" customHeight="1" x14ac:dyDescent="0.2">
      <c r="A31" s="14" t="s">
        <v>172</v>
      </c>
      <c r="B31" s="14" t="s">
        <v>173</v>
      </c>
      <c r="C31" s="10"/>
      <c r="D31" s="11">
        <v>7.2</v>
      </c>
      <c r="E31" s="66"/>
      <c r="F31" s="61">
        <f>SUM(DEBUT:FIN!O31)</f>
        <v>0</v>
      </c>
      <c r="G31" s="61">
        <f>SUM(BLANCDEBUT:BLANCFIN!O31)</f>
        <v>0</v>
      </c>
      <c r="H31" s="12">
        <f t="shared" si="0"/>
        <v>0</v>
      </c>
      <c r="I31" s="12">
        <f t="shared" si="1"/>
        <v>0</v>
      </c>
      <c r="J31" s="5"/>
      <c r="K31" s="5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</row>
    <row r="32" spans="1:37" ht="96" x14ac:dyDescent="0.2">
      <c r="A32" s="9" t="s">
        <v>6</v>
      </c>
      <c r="B32" s="9" t="s">
        <v>93</v>
      </c>
      <c r="C32" s="10" t="s">
        <v>94</v>
      </c>
      <c r="D32" s="11">
        <v>8.7919999999999998</v>
      </c>
      <c r="E32" s="66"/>
      <c r="F32" s="61">
        <f>SUM(DEBUT:FIN!O32)</f>
        <v>0</v>
      </c>
      <c r="G32" s="61">
        <f>SUM(BLANCDEBUT:BLANCFIN!O32)</f>
        <v>0</v>
      </c>
      <c r="H32" s="12">
        <f t="shared" si="0"/>
        <v>0</v>
      </c>
      <c r="I32" s="12">
        <f t="shared" si="1"/>
        <v>0</v>
      </c>
    </row>
    <row r="33" spans="1:9" ht="96" x14ac:dyDescent="0.2">
      <c r="A33" s="9" t="s">
        <v>101</v>
      </c>
      <c r="B33" s="9" t="s">
        <v>102</v>
      </c>
      <c r="C33" s="10" t="s">
        <v>95</v>
      </c>
      <c r="D33" s="11">
        <v>8.7919999999999998</v>
      </c>
      <c r="E33" s="66"/>
      <c r="F33" s="61">
        <f>SUM(DEBUT:FIN!O33)</f>
        <v>0</v>
      </c>
      <c r="G33" s="61">
        <f>SUM(BLANCDEBUT:BLANCFIN!O33)</f>
        <v>0</v>
      </c>
      <c r="H33" s="12">
        <f t="shared" si="0"/>
        <v>0</v>
      </c>
      <c r="I33" s="12">
        <f t="shared" si="1"/>
        <v>0</v>
      </c>
    </row>
    <row r="34" spans="1:9" ht="96" x14ac:dyDescent="0.2">
      <c r="A34" s="9" t="s">
        <v>99</v>
      </c>
      <c r="B34" s="9" t="s">
        <v>100</v>
      </c>
      <c r="C34" s="10" t="s">
        <v>95</v>
      </c>
      <c r="D34" s="11">
        <v>9.6180000000000003</v>
      </c>
      <c r="E34" s="66"/>
      <c r="F34" s="61">
        <f>SUM(DEBUT:FIN!O34)</f>
        <v>0</v>
      </c>
      <c r="G34" s="61">
        <f>SUM(BLANCDEBUT:BLANCFIN!O34)</f>
        <v>0</v>
      </c>
      <c r="H34" s="12">
        <f t="shared" si="0"/>
        <v>0</v>
      </c>
      <c r="I34" s="12">
        <f t="shared" si="1"/>
        <v>0</v>
      </c>
    </row>
    <row r="35" spans="1:9" ht="96" x14ac:dyDescent="0.2">
      <c r="A35" s="9" t="s">
        <v>105</v>
      </c>
      <c r="B35" s="9" t="s">
        <v>106</v>
      </c>
      <c r="C35" s="10" t="s">
        <v>95</v>
      </c>
      <c r="D35" s="11">
        <v>9.6180000000000003</v>
      </c>
      <c r="E35" s="66"/>
      <c r="F35" s="61">
        <f>SUM(DEBUT:FIN!O35)</f>
        <v>0</v>
      </c>
      <c r="G35" s="61">
        <f>SUM(BLANCDEBUT:BLANCFIN!O35)</f>
        <v>0</v>
      </c>
      <c r="H35" s="12">
        <f t="shared" si="0"/>
        <v>0</v>
      </c>
      <c r="I35" s="12">
        <f t="shared" si="1"/>
        <v>0</v>
      </c>
    </row>
    <row r="36" spans="1:9" ht="96" x14ac:dyDescent="0.2">
      <c r="A36" s="9" t="s">
        <v>7</v>
      </c>
      <c r="B36" s="9" t="s">
        <v>54</v>
      </c>
      <c r="C36" s="10" t="s">
        <v>95</v>
      </c>
      <c r="D36" s="11">
        <v>9.6180000000000003</v>
      </c>
      <c r="E36" s="66"/>
      <c r="F36" s="61">
        <f>SUM(DEBUT:FIN!O36)</f>
        <v>0</v>
      </c>
      <c r="G36" s="61">
        <f>SUM(BLANCDEBUT:BLANCFIN!O36)</f>
        <v>0</v>
      </c>
      <c r="H36" s="12">
        <f t="shared" ref="H36:H67" si="2">(F36 +G36)*D36</f>
        <v>0</v>
      </c>
      <c r="I36" s="12">
        <f t="shared" si="1"/>
        <v>0</v>
      </c>
    </row>
    <row r="37" spans="1:9" ht="96" x14ac:dyDescent="0.2">
      <c r="A37" s="9" t="s">
        <v>143</v>
      </c>
      <c r="B37" s="9" t="s">
        <v>152</v>
      </c>
      <c r="C37" s="10" t="s">
        <v>9</v>
      </c>
      <c r="D37" s="11">
        <v>6.6220000000000008</v>
      </c>
      <c r="E37" s="66"/>
      <c r="F37" s="61">
        <f>SUM(DEBUT:FIN!O37)</f>
        <v>0</v>
      </c>
      <c r="G37" s="61">
        <f>SUM(BLANCDEBUT:BLANCFIN!O37)</f>
        <v>0</v>
      </c>
      <c r="H37" s="12">
        <f t="shared" si="2"/>
        <v>0</v>
      </c>
      <c r="I37" s="12">
        <f t="shared" si="1"/>
        <v>0</v>
      </c>
    </row>
    <row r="38" spans="1:9" ht="96" x14ac:dyDescent="0.2">
      <c r="A38" s="9" t="s">
        <v>8</v>
      </c>
      <c r="B38" s="9" t="s">
        <v>55</v>
      </c>
      <c r="C38" s="10" t="s">
        <v>9</v>
      </c>
      <c r="D38" s="11">
        <v>6.6220000000000008</v>
      </c>
      <c r="E38" s="66"/>
      <c r="F38" s="61">
        <f>SUM(DEBUT:FIN!O38)</f>
        <v>0</v>
      </c>
      <c r="G38" s="61">
        <f>SUM(BLANCDEBUT:BLANCFIN!O38)</f>
        <v>0</v>
      </c>
      <c r="H38" s="12">
        <f t="shared" si="2"/>
        <v>0</v>
      </c>
      <c r="I38" s="12">
        <f t="shared" si="1"/>
        <v>0</v>
      </c>
    </row>
    <row r="39" spans="1:9" ht="96" x14ac:dyDescent="0.2">
      <c r="A39" s="9" t="s">
        <v>10</v>
      </c>
      <c r="B39" s="9" t="s">
        <v>56</v>
      </c>
      <c r="C39" s="10" t="s">
        <v>1</v>
      </c>
      <c r="D39" s="11">
        <v>8.6519999999999992</v>
      </c>
      <c r="E39" s="66"/>
      <c r="F39" s="61">
        <f>SUM(DEBUT:FIN!O39)</f>
        <v>0</v>
      </c>
      <c r="G39" s="61">
        <f>SUM(BLANCDEBUT:BLANCFIN!O39)</f>
        <v>0</v>
      </c>
      <c r="H39" s="12">
        <f t="shared" si="2"/>
        <v>0</v>
      </c>
      <c r="I39" s="12">
        <f t="shared" si="1"/>
        <v>0</v>
      </c>
    </row>
    <row r="40" spans="1:9" ht="64" x14ac:dyDescent="0.2">
      <c r="A40" s="9" t="s">
        <v>117</v>
      </c>
      <c r="B40" s="9" t="s">
        <v>98</v>
      </c>
      <c r="C40" s="10" t="s">
        <v>9</v>
      </c>
      <c r="D40" s="11">
        <v>7.22</v>
      </c>
      <c r="E40" s="66"/>
      <c r="F40" s="61">
        <f>SUM(DEBUT:FIN!O40)</f>
        <v>0</v>
      </c>
      <c r="G40" s="61">
        <f>SUM(BLANCDEBUT:BLANCFIN!O40)</f>
        <v>0</v>
      </c>
      <c r="H40" s="12">
        <f t="shared" si="2"/>
        <v>0</v>
      </c>
      <c r="I40" s="12">
        <f t="shared" si="1"/>
        <v>0</v>
      </c>
    </row>
    <row r="41" spans="1:9" ht="96" x14ac:dyDescent="0.2">
      <c r="A41" s="9" t="s">
        <v>11</v>
      </c>
      <c r="B41" s="9" t="s">
        <v>57</v>
      </c>
      <c r="C41" s="10" t="s">
        <v>9</v>
      </c>
      <c r="D41" s="11">
        <v>5.16</v>
      </c>
      <c r="E41" s="66"/>
      <c r="F41" s="61">
        <f>SUM(DEBUT:FIN!O41)</f>
        <v>0</v>
      </c>
      <c r="G41" s="61">
        <f>SUM(BLANCDEBUT:BLANCFIN!O41)</f>
        <v>0</v>
      </c>
      <c r="H41" s="12">
        <f t="shared" si="2"/>
        <v>0</v>
      </c>
      <c r="I41" s="12">
        <f t="shared" si="1"/>
        <v>0</v>
      </c>
    </row>
    <row r="42" spans="1:9" ht="64" x14ac:dyDescent="0.2">
      <c r="A42" s="9" t="s">
        <v>116</v>
      </c>
      <c r="B42" s="9" t="s">
        <v>107</v>
      </c>
      <c r="C42" s="10" t="s">
        <v>9</v>
      </c>
      <c r="D42" s="11">
        <v>7.22</v>
      </c>
      <c r="E42" s="66"/>
      <c r="F42" s="61">
        <f>SUM(DEBUT:FIN!O42)</f>
        <v>0</v>
      </c>
      <c r="G42" s="61">
        <f>SUM(BLANCDEBUT:BLANCFIN!O42)</f>
        <v>0</v>
      </c>
      <c r="H42" s="12">
        <f t="shared" si="2"/>
        <v>0</v>
      </c>
      <c r="I42" s="12">
        <f t="shared" si="1"/>
        <v>0</v>
      </c>
    </row>
    <row r="43" spans="1:9" ht="64" x14ac:dyDescent="0.2">
      <c r="A43" s="9" t="s">
        <v>115</v>
      </c>
      <c r="B43" s="9" t="s">
        <v>58</v>
      </c>
      <c r="C43" s="10" t="s">
        <v>9</v>
      </c>
      <c r="D43" s="11">
        <v>7.22</v>
      </c>
      <c r="E43" s="66"/>
      <c r="F43" s="61">
        <f>SUM(DEBUT:FIN!O43)</f>
        <v>0</v>
      </c>
      <c r="G43" s="61">
        <f>SUM(BLANCDEBUT:BLANCFIN!O43)</f>
        <v>0</v>
      </c>
      <c r="H43" s="12">
        <f t="shared" si="2"/>
        <v>0</v>
      </c>
      <c r="I43" s="12">
        <f t="shared" si="1"/>
        <v>0</v>
      </c>
    </row>
    <row r="44" spans="1:9" ht="96" x14ac:dyDescent="0.2">
      <c r="A44" s="9" t="s">
        <v>12</v>
      </c>
      <c r="B44" s="9" t="s">
        <v>59</v>
      </c>
      <c r="C44" s="10" t="s">
        <v>0</v>
      </c>
      <c r="D44" s="11">
        <v>0.66128525542088779</v>
      </c>
      <c r="E44" s="66"/>
      <c r="F44" s="61">
        <f>SUM(DEBUT:FIN!O44)</f>
        <v>0</v>
      </c>
      <c r="G44" s="61">
        <f>SUM(BLANCDEBUT:BLANCFIN!O44)</f>
        <v>0</v>
      </c>
      <c r="H44" s="12">
        <f t="shared" si="2"/>
        <v>0</v>
      </c>
      <c r="I44" s="12">
        <f t="shared" si="1"/>
        <v>0</v>
      </c>
    </row>
    <row r="45" spans="1:9" ht="96" x14ac:dyDescent="0.2">
      <c r="A45" s="9" t="s">
        <v>13</v>
      </c>
      <c r="B45" s="9" t="s">
        <v>60</v>
      </c>
      <c r="C45" s="10"/>
      <c r="D45" s="11">
        <v>0.73</v>
      </c>
      <c r="E45" s="66"/>
      <c r="F45" s="61">
        <f>SUM(DEBUT:FIN!O45)</f>
        <v>0</v>
      </c>
      <c r="G45" s="61">
        <f>SUM(BLANCDEBUT:BLANCFIN!O45)</f>
        <v>0</v>
      </c>
      <c r="H45" s="12">
        <f t="shared" si="2"/>
        <v>0</v>
      </c>
      <c r="I45" s="12">
        <f t="shared" si="1"/>
        <v>0</v>
      </c>
    </row>
    <row r="46" spans="1:9" ht="96" x14ac:dyDescent="0.2">
      <c r="A46" s="9" t="s">
        <v>135</v>
      </c>
      <c r="B46" s="9" t="s">
        <v>134</v>
      </c>
      <c r="C46" s="10"/>
      <c r="D46" s="11">
        <v>0.73</v>
      </c>
      <c r="E46" s="66"/>
      <c r="F46" s="61">
        <f>SUM(DEBUT:FIN!O46)</f>
        <v>0</v>
      </c>
      <c r="G46" s="61">
        <f>SUM(BLANCDEBUT:BLANCFIN!O46)</f>
        <v>0</v>
      </c>
      <c r="H46" s="12">
        <f t="shared" si="2"/>
        <v>0</v>
      </c>
      <c r="I46" s="12">
        <f t="shared" si="1"/>
        <v>0</v>
      </c>
    </row>
    <row r="47" spans="1:9" ht="96" x14ac:dyDescent="0.2">
      <c r="A47" s="14" t="s">
        <v>14</v>
      </c>
      <c r="B47" s="14" t="s">
        <v>61</v>
      </c>
      <c r="C47" s="10"/>
      <c r="D47" s="11">
        <v>1.8620000000000001</v>
      </c>
      <c r="E47" s="66"/>
      <c r="F47" s="61">
        <f>SUM(DEBUT:FIN!O47)</f>
        <v>0</v>
      </c>
      <c r="G47" s="61">
        <f>SUM(BLANCDEBUT:BLANCFIN!O47)</f>
        <v>0</v>
      </c>
      <c r="H47" s="12">
        <f t="shared" si="2"/>
        <v>0</v>
      </c>
      <c r="I47" s="12">
        <f t="shared" si="1"/>
        <v>0</v>
      </c>
    </row>
    <row r="48" spans="1:9" ht="64" x14ac:dyDescent="0.2">
      <c r="A48" s="14" t="s">
        <v>15</v>
      </c>
      <c r="B48" s="14" t="s">
        <v>62</v>
      </c>
      <c r="C48" s="10"/>
      <c r="D48" s="11">
        <v>0.96600000000000008</v>
      </c>
      <c r="E48" s="66"/>
      <c r="F48" s="61">
        <f>SUM(DEBUT:FIN!O48)</f>
        <v>0</v>
      </c>
      <c r="G48" s="61">
        <f>SUM(BLANCDEBUT:BLANCFIN!O48)</f>
        <v>0</v>
      </c>
      <c r="H48" s="12">
        <f t="shared" si="2"/>
        <v>0</v>
      </c>
      <c r="I48" s="12">
        <f t="shared" si="1"/>
        <v>0</v>
      </c>
    </row>
    <row r="49" spans="1:37" ht="64" x14ac:dyDescent="0.2">
      <c r="A49" s="14" t="s">
        <v>16</v>
      </c>
      <c r="B49" s="14" t="s">
        <v>63</v>
      </c>
      <c r="C49" s="10"/>
      <c r="D49" s="11">
        <v>0.83</v>
      </c>
      <c r="E49" s="66"/>
      <c r="F49" s="61">
        <f>SUM(DEBUT:FIN!O49)</f>
        <v>0</v>
      </c>
      <c r="G49" s="61">
        <f>SUM(BLANCDEBUT:BLANCFIN!O49)</f>
        <v>0</v>
      </c>
      <c r="H49" s="12">
        <f t="shared" si="2"/>
        <v>0</v>
      </c>
      <c r="I49" s="12">
        <f t="shared" si="1"/>
        <v>0</v>
      </c>
    </row>
    <row r="50" spans="1:37" ht="32" x14ac:dyDescent="0.2">
      <c r="A50" s="14" t="s">
        <v>17</v>
      </c>
      <c r="B50" s="14" t="s">
        <v>64</v>
      </c>
      <c r="C50" s="10"/>
      <c r="D50" s="11">
        <v>10.497199999999999</v>
      </c>
      <c r="E50" s="66"/>
      <c r="F50" s="61">
        <f>SUM(DEBUT:FIN!O50)</f>
        <v>0</v>
      </c>
      <c r="G50" s="61">
        <f>SUM(BLANCDEBUT:BLANCFIN!O50)</f>
        <v>0</v>
      </c>
      <c r="H50" s="12">
        <f t="shared" si="2"/>
        <v>0</v>
      </c>
      <c r="I50" s="12">
        <f t="shared" si="1"/>
        <v>0</v>
      </c>
    </row>
    <row r="51" spans="1:37" ht="47" x14ac:dyDescent="0.2">
      <c r="A51" s="14" t="s">
        <v>174</v>
      </c>
      <c r="B51" s="14" t="s">
        <v>190</v>
      </c>
      <c r="C51" s="10"/>
      <c r="D51" s="11">
        <v>8.6295999999999999</v>
      </c>
      <c r="E51" s="66"/>
      <c r="F51" s="61">
        <f>SUM(DEBUT:FIN!O51)</f>
        <v>0</v>
      </c>
      <c r="G51" s="61">
        <f>SUM(BLANCDEBUT:BLANCFIN!O51)</f>
        <v>0</v>
      </c>
      <c r="H51" s="12">
        <f t="shared" si="2"/>
        <v>0</v>
      </c>
      <c r="I51" s="12">
        <f t="shared" si="1"/>
        <v>0</v>
      </c>
      <c r="J51" s="5"/>
      <c r="K51" s="5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</row>
    <row r="52" spans="1:37" ht="47" x14ac:dyDescent="0.2">
      <c r="A52" s="14" t="s">
        <v>175</v>
      </c>
      <c r="B52" s="14" t="s">
        <v>191</v>
      </c>
      <c r="C52" s="10"/>
      <c r="D52" s="11">
        <v>6.78</v>
      </c>
      <c r="E52" s="66"/>
      <c r="F52" s="61">
        <f>SUM(DEBUT:FIN!O52)</f>
        <v>0</v>
      </c>
      <c r="G52" s="61">
        <f>SUM(BLANCDEBUT:BLANCFIN!O52)</f>
        <v>0</v>
      </c>
      <c r="H52" s="12">
        <f t="shared" si="2"/>
        <v>0</v>
      </c>
      <c r="I52" s="12">
        <f t="shared" si="1"/>
        <v>0</v>
      </c>
      <c r="J52" s="5"/>
      <c r="K52" s="5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</row>
    <row r="53" spans="1:37" ht="32" x14ac:dyDescent="0.2">
      <c r="A53" s="14" t="s">
        <v>18</v>
      </c>
      <c r="B53" s="14" t="s">
        <v>65</v>
      </c>
      <c r="C53" s="10"/>
      <c r="D53" s="11">
        <v>6.78</v>
      </c>
      <c r="E53" s="66"/>
      <c r="F53" s="61">
        <f>SUM(DEBUT:FIN!O53)</f>
        <v>0</v>
      </c>
      <c r="G53" s="61">
        <f>SUM(BLANCDEBUT:BLANCFIN!O53)</f>
        <v>0</v>
      </c>
      <c r="H53" s="12">
        <f t="shared" si="2"/>
        <v>0</v>
      </c>
      <c r="I53" s="12">
        <f t="shared" si="1"/>
        <v>0</v>
      </c>
    </row>
    <row r="54" spans="1:37" ht="32" x14ac:dyDescent="0.2">
      <c r="A54" s="14" t="s">
        <v>19</v>
      </c>
      <c r="B54" s="14" t="s">
        <v>66</v>
      </c>
      <c r="C54" s="10"/>
      <c r="D54" s="11">
        <v>2.6661599999999996</v>
      </c>
      <c r="E54" s="66"/>
      <c r="F54" s="61">
        <f>SUM(DEBUT:FIN!O54)</f>
        <v>0</v>
      </c>
      <c r="G54" s="61">
        <f>SUM(BLANCDEBUT:BLANCFIN!O54)</f>
        <v>0</v>
      </c>
      <c r="H54" s="12">
        <f t="shared" si="2"/>
        <v>0</v>
      </c>
      <c r="I54" s="12">
        <f t="shared" si="1"/>
        <v>0</v>
      </c>
    </row>
    <row r="55" spans="1:37" ht="32" x14ac:dyDescent="0.2">
      <c r="A55" s="14" t="s">
        <v>20</v>
      </c>
      <c r="B55" s="14" t="s">
        <v>67</v>
      </c>
      <c r="C55" s="10"/>
      <c r="D55" s="11">
        <v>3.4389599999999998</v>
      </c>
      <c r="E55" s="66"/>
      <c r="F55" s="61">
        <f>SUM(DEBUT:FIN!O55)</f>
        <v>0</v>
      </c>
      <c r="G55" s="61">
        <f>SUM(BLANCDEBUT:BLANCFIN!O55)</f>
        <v>0</v>
      </c>
      <c r="H55" s="12">
        <f t="shared" si="2"/>
        <v>0</v>
      </c>
      <c r="I55" s="12">
        <f t="shared" si="1"/>
        <v>0</v>
      </c>
    </row>
    <row r="56" spans="1:37" ht="32" x14ac:dyDescent="0.2">
      <c r="A56" s="14" t="s">
        <v>21</v>
      </c>
      <c r="B56" s="14" t="s">
        <v>131</v>
      </c>
      <c r="C56" s="10"/>
      <c r="D56" s="11">
        <v>3.4389599999999998</v>
      </c>
      <c r="E56" s="66"/>
      <c r="F56" s="61">
        <f>SUM(DEBUT:FIN!O56)</f>
        <v>0</v>
      </c>
      <c r="G56" s="61">
        <f>SUM(BLANCDEBUT:BLANCFIN!O56)</f>
        <v>0</v>
      </c>
      <c r="H56" s="12">
        <f t="shared" si="2"/>
        <v>0</v>
      </c>
      <c r="I56" s="12">
        <f t="shared" si="1"/>
        <v>0</v>
      </c>
    </row>
    <row r="57" spans="1:37" ht="64" x14ac:dyDescent="0.2">
      <c r="A57" s="14" t="s">
        <v>22</v>
      </c>
      <c r="B57" s="14" t="s">
        <v>70</v>
      </c>
      <c r="C57" s="10"/>
      <c r="D57" s="11">
        <v>0.15512465373961221</v>
      </c>
      <c r="E57" s="66"/>
      <c r="F57" s="61">
        <f>SUM(DEBUT:FIN!O57)</f>
        <v>0</v>
      </c>
      <c r="G57" s="61">
        <f>SUM(BLANCDEBUT:BLANCFIN!O57)</f>
        <v>0</v>
      </c>
      <c r="H57" s="12">
        <f t="shared" si="2"/>
        <v>0</v>
      </c>
      <c r="I57" s="12">
        <f t="shared" si="1"/>
        <v>0</v>
      </c>
    </row>
    <row r="58" spans="1:37" ht="64" x14ac:dyDescent="0.2">
      <c r="A58" s="14" t="s">
        <v>23</v>
      </c>
      <c r="B58" s="14" t="s">
        <v>69</v>
      </c>
      <c r="C58" s="10"/>
      <c r="D58" s="11">
        <v>0.27922437673130196</v>
      </c>
      <c r="E58" s="66"/>
      <c r="F58" s="61">
        <f>SUM(DEBUT:FIN!O58)</f>
        <v>0</v>
      </c>
      <c r="G58" s="61">
        <f>SUM(BLANCDEBUT:BLANCFIN!O58)</f>
        <v>0</v>
      </c>
      <c r="H58" s="12">
        <f t="shared" si="2"/>
        <v>0</v>
      </c>
      <c r="I58" s="12">
        <f t="shared" si="1"/>
        <v>0</v>
      </c>
    </row>
    <row r="59" spans="1:37" ht="64" x14ac:dyDescent="0.2">
      <c r="A59" s="14" t="s">
        <v>24</v>
      </c>
      <c r="B59" s="14" t="s">
        <v>68</v>
      </c>
      <c r="C59" s="10"/>
      <c r="D59" s="11">
        <v>0.12409972299168978</v>
      </c>
      <c r="E59" s="66"/>
      <c r="F59" s="61">
        <f>SUM(DEBUT:FIN!O59)</f>
        <v>0</v>
      </c>
      <c r="G59" s="61">
        <f>SUM(BLANCDEBUT:BLANCFIN!O59)</f>
        <v>0</v>
      </c>
      <c r="H59" s="12">
        <f t="shared" si="2"/>
        <v>0</v>
      </c>
      <c r="I59" s="12">
        <f t="shared" si="1"/>
        <v>0</v>
      </c>
    </row>
    <row r="60" spans="1:37" ht="64" x14ac:dyDescent="0.2">
      <c r="A60" s="14" t="s">
        <v>25</v>
      </c>
      <c r="B60" s="14" t="s">
        <v>71</v>
      </c>
      <c r="C60" s="10"/>
      <c r="D60" s="11">
        <v>3.1024930747922445E-2</v>
      </c>
      <c r="E60" s="66"/>
      <c r="F60" s="61">
        <f>SUM(DEBUT:FIN!O60)</f>
        <v>0</v>
      </c>
      <c r="G60" s="61">
        <f>SUM(BLANCDEBUT:BLANCFIN!O60)</f>
        <v>0</v>
      </c>
      <c r="H60" s="12">
        <f t="shared" si="2"/>
        <v>0</v>
      </c>
      <c r="I60" s="12">
        <f t="shared" si="1"/>
        <v>0</v>
      </c>
    </row>
    <row r="61" spans="1:37" ht="64" x14ac:dyDescent="0.2">
      <c r="A61" s="14" t="s">
        <v>26</v>
      </c>
      <c r="B61" s="14" t="s">
        <v>72</v>
      </c>
      <c r="C61" s="10"/>
      <c r="D61" s="11">
        <v>3.49</v>
      </c>
      <c r="E61" s="66"/>
      <c r="F61" s="61">
        <f>SUM(DEBUT:FIN!O61)</f>
        <v>0</v>
      </c>
      <c r="G61" s="61">
        <f>SUM(BLANCDEBUT:BLANCFIN!O61)</f>
        <v>0</v>
      </c>
      <c r="H61" s="12">
        <f t="shared" si="2"/>
        <v>0</v>
      </c>
      <c r="I61" s="12">
        <f t="shared" si="1"/>
        <v>0</v>
      </c>
    </row>
    <row r="62" spans="1:37" ht="192" x14ac:dyDescent="0.2">
      <c r="A62" s="14" t="s">
        <v>27</v>
      </c>
      <c r="B62" s="14" t="s">
        <v>73</v>
      </c>
      <c r="C62" s="10" t="s">
        <v>96</v>
      </c>
      <c r="D62" s="11">
        <v>4.8499999999999996</v>
      </c>
      <c r="E62" s="66"/>
      <c r="F62" s="61">
        <f>SUM(DEBUT:FIN!O62)</f>
        <v>0</v>
      </c>
      <c r="G62" s="61">
        <f>SUM(BLANCDEBUT:BLANCFIN!O62)</f>
        <v>0</v>
      </c>
      <c r="H62" s="12">
        <f t="shared" si="2"/>
        <v>0</v>
      </c>
      <c r="I62" s="12">
        <f t="shared" si="1"/>
        <v>0</v>
      </c>
    </row>
    <row r="63" spans="1:37" ht="192" x14ac:dyDescent="0.2">
      <c r="A63" s="14" t="s">
        <v>28</v>
      </c>
      <c r="B63" s="14" t="s">
        <v>74</v>
      </c>
      <c r="C63" s="10" t="s">
        <v>96</v>
      </c>
      <c r="D63" s="11">
        <v>6.8</v>
      </c>
      <c r="E63" s="66"/>
      <c r="F63" s="61">
        <f>SUM(DEBUT:FIN!O63)</f>
        <v>0</v>
      </c>
      <c r="G63" s="61">
        <f>SUM(BLANCDEBUT:BLANCFIN!O63)</f>
        <v>0</v>
      </c>
      <c r="H63" s="12">
        <f t="shared" si="2"/>
        <v>0</v>
      </c>
      <c r="I63" s="12">
        <f t="shared" si="1"/>
        <v>0</v>
      </c>
    </row>
    <row r="64" spans="1:37" ht="64" x14ac:dyDescent="0.2">
      <c r="A64" s="14" t="s">
        <v>29</v>
      </c>
      <c r="B64" s="14" t="s">
        <v>75</v>
      </c>
      <c r="C64" s="10"/>
      <c r="D64" s="11">
        <v>1.1399999999999999</v>
      </c>
      <c r="E64" s="66"/>
      <c r="F64" s="61">
        <f>SUM(DEBUT:FIN!O64)</f>
        <v>0</v>
      </c>
      <c r="G64" s="61">
        <f>SUM(BLANCDEBUT:BLANCFIN!O64)</f>
        <v>0</v>
      </c>
      <c r="H64" s="12">
        <f t="shared" si="2"/>
        <v>0</v>
      </c>
      <c r="I64" s="12">
        <f t="shared" si="1"/>
        <v>0</v>
      </c>
    </row>
    <row r="65" spans="1:37" ht="64" x14ac:dyDescent="0.2">
      <c r="A65" s="14" t="s">
        <v>30</v>
      </c>
      <c r="B65" s="14" t="s">
        <v>76</v>
      </c>
      <c r="C65" s="10"/>
      <c r="D65" s="11">
        <v>1.22</v>
      </c>
      <c r="E65" s="66"/>
      <c r="F65" s="61">
        <f>SUM(DEBUT:FIN!O65)</f>
        <v>0</v>
      </c>
      <c r="G65" s="61">
        <f>SUM(BLANCDEBUT:BLANCFIN!O65)</f>
        <v>0</v>
      </c>
      <c r="H65" s="12">
        <f t="shared" si="2"/>
        <v>0</v>
      </c>
      <c r="I65" s="12">
        <f t="shared" si="1"/>
        <v>0</v>
      </c>
    </row>
    <row r="66" spans="1:37" ht="64" x14ac:dyDescent="0.2">
      <c r="A66" s="14" t="s">
        <v>31</v>
      </c>
      <c r="B66" s="14" t="s">
        <v>259</v>
      </c>
      <c r="C66" s="10"/>
      <c r="D66" s="11">
        <v>2.15</v>
      </c>
      <c r="E66" s="66"/>
      <c r="F66" s="61">
        <f>SUM(DEBUT:FIN!O66)</f>
        <v>0</v>
      </c>
      <c r="G66" s="61">
        <f>SUM(BLANCDEBUT:BLANCFIN!O66)</f>
        <v>0</v>
      </c>
      <c r="H66" s="12">
        <f t="shared" si="2"/>
        <v>0</v>
      </c>
      <c r="I66" s="12">
        <f t="shared" si="1"/>
        <v>0</v>
      </c>
    </row>
    <row r="67" spans="1:37" ht="96" x14ac:dyDescent="0.2">
      <c r="A67" s="14" t="s">
        <v>32</v>
      </c>
      <c r="B67" s="14" t="s">
        <v>77</v>
      </c>
      <c r="C67" s="10"/>
      <c r="D67" s="11">
        <v>5.5579999999999998</v>
      </c>
      <c r="E67" s="66"/>
      <c r="F67" s="61">
        <f>SUM(DEBUT:FIN!O67)</f>
        <v>0</v>
      </c>
      <c r="G67" s="61">
        <f>SUM(BLANCDEBUT:BLANCFIN!O67)</f>
        <v>0</v>
      </c>
      <c r="H67" s="12">
        <f t="shared" si="2"/>
        <v>0</v>
      </c>
      <c r="I67" s="12">
        <f t="shared" si="1"/>
        <v>0</v>
      </c>
    </row>
    <row r="68" spans="1:37" ht="96" x14ac:dyDescent="0.2">
      <c r="A68" s="14" t="s">
        <v>33</v>
      </c>
      <c r="B68" s="14" t="s">
        <v>78</v>
      </c>
      <c r="C68" s="10"/>
      <c r="D68" s="11">
        <v>5.5579999999999998</v>
      </c>
      <c r="E68" s="66"/>
      <c r="F68" s="61">
        <f>SUM(DEBUT:FIN!O68)</f>
        <v>0</v>
      </c>
      <c r="G68" s="61">
        <f>SUM(BLANCDEBUT:BLANCFIN!O68)</f>
        <v>0</v>
      </c>
      <c r="H68" s="12">
        <f t="shared" ref="H68:H90" si="3">(F68 +G68)*D68</f>
        <v>0</v>
      </c>
      <c r="I68" s="12">
        <f t="shared" si="1"/>
        <v>0</v>
      </c>
    </row>
    <row r="69" spans="1:37" ht="96" x14ac:dyDescent="0.2">
      <c r="A69" s="14" t="s">
        <v>176</v>
      </c>
      <c r="B69" s="14" t="s">
        <v>192</v>
      </c>
      <c r="C69" s="10"/>
      <c r="D69" s="11">
        <v>5.5579999999999998</v>
      </c>
      <c r="E69" s="66"/>
      <c r="F69" s="61">
        <f>SUM(DEBUT:FIN!O69)</f>
        <v>0</v>
      </c>
      <c r="G69" s="61">
        <f>SUM(BLANCDEBUT:BLANCFIN!O69)</f>
        <v>0</v>
      </c>
      <c r="H69" s="12">
        <f t="shared" si="3"/>
        <v>0</v>
      </c>
      <c r="I69" s="12">
        <f t="shared" ref="I69:I90" si="4">(F69+G69)*E69</f>
        <v>0</v>
      </c>
      <c r="J69" s="5"/>
      <c r="K69" s="5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</row>
    <row r="70" spans="1:37" ht="96" x14ac:dyDescent="0.2">
      <c r="A70" s="14" t="s">
        <v>177</v>
      </c>
      <c r="B70" s="14" t="s">
        <v>193</v>
      </c>
      <c r="C70" s="10"/>
      <c r="D70" s="11">
        <v>5.5579999999999998</v>
      </c>
      <c r="E70" s="66"/>
      <c r="F70" s="61">
        <f>SUM(DEBUT:FIN!O70)</f>
        <v>0</v>
      </c>
      <c r="G70" s="61">
        <f>SUM(BLANCDEBUT:BLANCFIN!O70)</f>
        <v>0</v>
      </c>
      <c r="H70" s="12">
        <f t="shared" si="3"/>
        <v>0</v>
      </c>
      <c r="I70" s="12">
        <f t="shared" si="4"/>
        <v>0</v>
      </c>
      <c r="J70" s="5"/>
      <c r="K70" s="5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pans="1:37" ht="96" x14ac:dyDescent="0.2">
      <c r="A71" s="14" t="s">
        <v>178</v>
      </c>
      <c r="B71" s="14" t="s">
        <v>194</v>
      </c>
      <c r="C71" s="10"/>
      <c r="D71" s="11">
        <v>5.5579999999999998</v>
      </c>
      <c r="E71" s="66"/>
      <c r="F71" s="61">
        <f>SUM(DEBUT:FIN!O71)</f>
        <v>0</v>
      </c>
      <c r="G71" s="61">
        <f>SUM(BLANCDEBUT:BLANCFIN!O71)</f>
        <v>0</v>
      </c>
      <c r="H71" s="12">
        <f t="shared" si="3"/>
        <v>0</v>
      </c>
      <c r="I71" s="12">
        <f t="shared" si="4"/>
        <v>0</v>
      </c>
    </row>
    <row r="72" spans="1:37" ht="96" x14ac:dyDescent="0.2">
      <c r="A72" s="14" t="s">
        <v>179</v>
      </c>
      <c r="B72" s="14" t="s">
        <v>195</v>
      </c>
      <c r="C72" s="10"/>
      <c r="D72" s="11">
        <v>5.5579999999999998</v>
      </c>
      <c r="E72" s="66"/>
      <c r="F72" s="61">
        <f>SUM(DEBUT:FIN!O72)</f>
        <v>0</v>
      </c>
      <c r="G72" s="61">
        <f>SUM(BLANCDEBUT:BLANCFIN!O72)</f>
        <v>0</v>
      </c>
      <c r="H72" s="12">
        <f t="shared" si="3"/>
        <v>0</v>
      </c>
      <c r="I72" s="12">
        <f t="shared" si="4"/>
        <v>0</v>
      </c>
    </row>
    <row r="73" spans="1:37" ht="96" x14ac:dyDescent="0.2">
      <c r="A73" s="14" t="s">
        <v>34</v>
      </c>
      <c r="B73" s="14" t="s">
        <v>79</v>
      </c>
      <c r="C73" s="10"/>
      <c r="D73" s="11">
        <v>3.3879999999999999</v>
      </c>
      <c r="E73" s="66"/>
      <c r="F73" s="61">
        <f>SUM(DEBUT:FIN!O73)</f>
        <v>0</v>
      </c>
      <c r="G73" s="61">
        <f>SUM(BLANCDEBUT:BLANCFIN!O73)</f>
        <v>0</v>
      </c>
      <c r="H73" s="12">
        <f t="shared" si="3"/>
        <v>0</v>
      </c>
      <c r="I73" s="12">
        <f t="shared" si="4"/>
        <v>0</v>
      </c>
    </row>
    <row r="74" spans="1:37" ht="96" x14ac:dyDescent="0.2">
      <c r="A74" s="14" t="s">
        <v>35</v>
      </c>
      <c r="B74" s="14" t="s">
        <v>80</v>
      </c>
      <c r="C74" s="10"/>
      <c r="D74" s="11">
        <v>3.3879999999999999</v>
      </c>
      <c r="E74" s="66"/>
      <c r="F74" s="61">
        <f>SUM(DEBUT:FIN!O74)</f>
        <v>0</v>
      </c>
      <c r="G74" s="61">
        <f>SUM(BLANCDEBUT:BLANCFIN!O74)</f>
        <v>0</v>
      </c>
      <c r="H74" s="12">
        <f t="shared" si="3"/>
        <v>0</v>
      </c>
      <c r="I74" s="12">
        <f t="shared" si="4"/>
        <v>0</v>
      </c>
    </row>
    <row r="75" spans="1:37" ht="64" x14ac:dyDescent="0.2">
      <c r="A75" s="14" t="s">
        <v>36</v>
      </c>
      <c r="B75" s="14" t="s">
        <v>81</v>
      </c>
      <c r="C75" s="10"/>
      <c r="D75" s="11">
        <v>2.1280000000000001</v>
      </c>
      <c r="E75" s="66"/>
      <c r="F75" s="61">
        <f>SUM(DEBUT:FIN!O75)</f>
        <v>0</v>
      </c>
      <c r="G75" s="61">
        <f>SUM(BLANCDEBUT:BLANCFIN!O75)</f>
        <v>0</v>
      </c>
      <c r="H75" s="12">
        <f t="shared" si="3"/>
        <v>0</v>
      </c>
      <c r="I75" s="12">
        <f t="shared" si="4"/>
        <v>0</v>
      </c>
    </row>
    <row r="76" spans="1:37" ht="64" x14ac:dyDescent="0.2">
      <c r="A76" s="14" t="s">
        <v>37</v>
      </c>
      <c r="B76" s="14" t="s">
        <v>82</v>
      </c>
      <c r="C76" s="10"/>
      <c r="D76" s="11">
        <v>2.702</v>
      </c>
      <c r="E76" s="66"/>
      <c r="F76" s="61">
        <f>SUM(DEBUT:FIN!O76)</f>
        <v>0</v>
      </c>
      <c r="G76" s="61">
        <f>SUM(BLANCDEBUT:BLANCFIN!O76)</f>
        <v>0</v>
      </c>
      <c r="H76" s="12">
        <f t="shared" si="3"/>
        <v>0</v>
      </c>
      <c r="I76" s="12">
        <f t="shared" si="4"/>
        <v>0</v>
      </c>
    </row>
    <row r="77" spans="1:37" ht="96" x14ac:dyDescent="0.2">
      <c r="A77" s="14" t="s">
        <v>38</v>
      </c>
      <c r="B77" s="14" t="s">
        <v>83</v>
      </c>
      <c r="C77" s="10"/>
      <c r="D77" s="11">
        <v>0.68599999999999994</v>
      </c>
      <c r="E77" s="66"/>
      <c r="F77" s="61">
        <f>SUM(DEBUT:FIN!O77)</f>
        <v>0</v>
      </c>
      <c r="G77" s="61">
        <f>SUM(BLANCDEBUT:BLANCFIN!O77)</f>
        <v>0</v>
      </c>
      <c r="H77" s="12">
        <f t="shared" si="3"/>
        <v>0</v>
      </c>
      <c r="I77" s="12">
        <f t="shared" si="4"/>
        <v>0</v>
      </c>
    </row>
    <row r="78" spans="1:37" ht="96" x14ac:dyDescent="0.2">
      <c r="A78" s="14" t="s">
        <v>39</v>
      </c>
      <c r="B78" s="14" t="s">
        <v>84</v>
      </c>
      <c r="C78" s="10"/>
      <c r="D78" s="11">
        <v>0.68599999999999994</v>
      </c>
      <c r="E78" s="66"/>
      <c r="F78" s="61">
        <f>SUM(DEBUT:FIN!O78)</f>
        <v>0</v>
      </c>
      <c r="G78" s="61">
        <f>SUM(BLANCDEBUT:BLANCFIN!O78)</f>
        <v>0</v>
      </c>
      <c r="H78" s="12">
        <f t="shared" si="3"/>
        <v>0</v>
      </c>
      <c r="I78" s="12">
        <f t="shared" si="4"/>
        <v>0</v>
      </c>
    </row>
    <row r="79" spans="1:37" ht="96" x14ac:dyDescent="0.2">
      <c r="A79" s="14" t="s">
        <v>40</v>
      </c>
      <c r="B79" s="14" t="s">
        <v>85</v>
      </c>
      <c r="C79" s="10"/>
      <c r="D79" s="11">
        <v>0.98</v>
      </c>
      <c r="E79" s="66"/>
      <c r="F79" s="61">
        <f>SUM(DEBUT:FIN!O79)</f>
        <v>0</v>
      </c>
      <c r="G79" s="61">
        <f>SUM(BLANCDEBUT:BLANCFIN!O79)</f>
        <v>0</v>
      </c>
      <c r="H79" s="12">
        <f t="shared" si="3"/>
        <v>0</v>
      </c>
      <c r="I79" s="12">
        <f t="shared" si="4"/>
        <v>0</v>
      </c>
    </row>
    <row r="80" spans="1:37" ht="96" x14ac:dyDescent="0.2">
      <c r="A80" s="14" t="s">
        <v>41</v>
      </c>
      <c r="B80" s="15" t="s">
        <v>254</v>
      </c>
      <c r="C80" s="16"/>
      <c r="D80" s="11">
        <v>0.98</v>
      </c>
      <c r="E80" s="66"/>
      <c r="F80" s="61">
        <f>SUM(DEBUT:FIN!O80)</f>
        <v>0</v>
      </c>
      <c r="G80" s="61">
        <f>SUM(BLANCDEBUT:BLANCFIN!O80)</f>
        <v>0</v>
      </c>
      <c r="H80" s="12">
        <f t="shared" si="3"/>
        <v>0</v>
      </c>
      <c r="I80" s="12">
        <f t="shared" si="4"/>
        <v>0</v>
      </c>
    </row>
    <row r="81" spans="1:37" ht="96" x14ac:dyDescent="0.2">
      <c r="A81" s="14" t="s">
        <v>136</v>
      </c>
      <c r="B81" s="14" t="s">
        <v>132</v>
      </c>
      <c r="C81" s="10"/>
      <c r="D81" s="11">
        <v>0.98</v>
      </c>
      <c r="E81" s="66"/>
      <c r="F81" s="61">
        <f>SUM(DEBUT:FIN!O81)</f>
        <v>0</v>
      </c>
      <c r="G81" s="61">
        <f>SUM(BLANCDEBUT:BLANCFIN!O81)</f>
        <v>0</v>
      </c>
      <c r="H81" s="12">
        <f t="shared" si="3"/>
        <v>0</v>
      </c>
      <c r="I81" s="12">
        <f t="shared" si="4"/>
        <v>0</v>
      </c>
    </row>
    <row r="82" spans="1:37" ht="96" x14ac:dyDescent="0.2">
      <c r="A82" s="14" t="s">
        <v>137</v>
      </c>
      <c r="B82" s="14" t="s">
        <v>133</v>
      </c>
      <c r="C82" s="10"/>
      <c r="D82" s="11">
        <v>0.68599999999999994</v>
      </c>
      <c r="E82" s="66"/>
      <c r="F82" s="61">
        <f>SUM(DEBUT:FIN!O82)</f>
        <v>0</v>
      </c>
      <c r="G82" s="61">
        <f>SUM(BLANCDEBUT:BLANCFIN!O82)</f>
        <v>0</v>
      </c>
      <c r="H82" s="12">
        <f t="shared" si="3"/>
        <v>0</v>
      </c>
      <c r="I82" s="12">
        <f t="shared" si="4"/>
        <v>0</v>
      </c>
    </row>
    <row r="83" spans="1:37" ht="128" x14ac:dyDescent="0.2">
      <c r="A83" s="10" t="s">
        <v>154</v>
      </c>
      <c r="B83" s="10" t="s">
        <v>155</v>
      </c>
      <c r="C83" s="10"/>
      <c r="D83" s="11">
        <v>19.137999999999998</v>
      </c>
      <c r="E83" s="66"/>
      <c r="F83" s="61">
        <f>SUM(DEBUT:FIN!O83)</f>
        <v>0</v>
      </c>
      <c r="G83" s="61">
        <f>SUM(BLANCDEBUT:BLANCFIN!O83)</f>
        <v>0</v>
      </c>
      <c r="H83" s="12">
        <f t="shared" si="3"/>
        <v>0</v>
      </c>
      <c r="I83" s="12">
        <f t="shared" si="4"/>
        <v>0</v>
      </c>
      <c r="J83" s="5"/>
      <c r="K83" s="5"/>
      <c r="L83" s="5"/>
      <c r="M83" s="25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</row>
    <row r="84" spans="1:37" ht="320" x14ac:dyDescent="0.2">
      <c r="A84" s="14" t="s">
        <v>156</v>
      </c>
      <c r="B84" s="14" t="s">
        <v>157</v>
      </c>
      <c r="C84" s="10" t="s">
        <v>158</v>
      </c>
      <c r="D84" s="11">
        <v>160.23000000000002</v>
      </c>
      <c r="E84" s="66"/>
      <c r="F84" s="61">
        <f>SUM(DEBUT:FIN!O84)</f>
        <v>0</v>
      </c>
      <c r="G84" s="61">
        <f>SUM(BLANCDEBUT:BLANCFIN!O84)</f>
        <v>0</v>
      </c>
      <c r="H84" s="12">
        <f t="shared" si="3"/>
        <v>0</v>
      </c>
      <c r="I84" s="12">
        <f t="shared" si="4"/>
        <v>0</v>
      </c>
      <c r="J84" s="5"/>
      <c r="K84" s="5"/>
      <c r="L84" s="5"/>
      <c r="M84" s="25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</row>
    <row r="85" spans="1:37" ht="320" x14ac:dyDescent="0.2">
      <c r="A85" s="14" t="s">
        <v>196</v>
      </c>
      <c r="B85" s="14" t="s">
        <v>159</v>
      </c>
      <c r="C85" s="10" t="s">
        <v>158</v>
      </c>
      <c r="D85" s="11">
        <v>207.94200000000001</v>
      </c>
      <c r="E85" s="66"/>
      <c r="F85" s="61">
        <f>SUM(DEBUT:FIN!O85)</f>
        <v>0</v>
      </c>
      <c r="G85" s="61">
        <f>SUM(BLANCDEBUT:BLANCFIN!O85)</f>
        <v>0</v>
      </c>
      <c r="H85" s="12">
        <f t="shared" si="3"/>
        <v>0</v>
      </c>
      <c r="I85" s="12">
        <f t="shared" si="4"/>
        <v>0</v>
      </c>
      <c r="J85" s="5"/>
      <c r="K85" s="5"/>
      <c r="L85" s="5"/>
      <c r="M85" s="25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</row>
    <row r="86" spans="1:37" ht="320" x14ac:dyDescent="0.2">
      <c r="A86" s="14" t="s">
        <v>197</v>
      </c>
      <c r="B86" s="14" t="s">
        <v>160</v>
      </c>
      <c r="C86" s="10" t="s">
        <v>158</v>
      </c>
      <c r="D86" s="11">
        <v>207.94200000000001</v>
      </c>
      <c r="E86" s="66"/>
      <c r="F86" s="61">
        <f>SUM(DEBUT:FIN!O86)</f>
        <v>0</v>
      </c>
      <c r="G86" s="61">
        <f>SUM(BLANCDEBUT:BLANCFIN!O86)</f>
        <v>0</v>
      </c>
      <c r="H86" s="12">
        <f t="shared" si="3"/>
        <v>0</v>
      </c>
      <c r="I86" s="12">
        <f t="shared" si="4"/>
        <v>0</v>
      </c>
      <c r="J86" s="5"/>
      <c r="K86" s="5"/>
      <c r="L86" s="5"/>
      <c r="M86" s="25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</row>
    <row r="87" spans="1:37" ht="128" x14ac:dyDescent="0.2">
      <c r="A87" s="14" t="s">
        <v>180</v>
      </c>
      <c r="B87" s="10" t="s">
        <v>181</v>
      </c>
      <c r="C87" s="10"/>
      <c r="D87" s="11">
        <v>0.75</v>
      </c>
      <c r="E87" s="66"/>
      <c r="F87" s="61">
        <f>SUM(DEBUT:FIN!O87)</f>
        <v>0</v>
      </c>
      <c r="G87" s="61">
        <f>SUM(BLANCDEBUT:BLANCFIN!O87)</f>
        <v>0</v>
      </c>
      <c r="H87" s="12">
        <f t="shared" si="3"/>
        <v>0</v>
      </c>
      <c r="I87" s="12">
        <f t="shared" si="4"/>
        <v>0</v>
      </c>
      <c r="L87" s="5"/>
      <c r="M87" s="25"/>
    </row>
    <row r="88" spans="1:37" ht="128" x14ac:dyDescent="0.2">
      <c r="A88" s="14" t="s">
        <v>182</v>
      </c>
      <c r="B88" s="10" t="s">
        <v>183</v>
      </c>
      <c r="C88" s="10"/>
      <c r="D88" s="11">
        <v>0.75</v>
      </c>
      <c r="E88" s="66"/>
      <c r="F88" s="61">
        <f>SUM(DEBUT:FIN!O88)</f>
        <v>0</v>
      </c>
      <c r="G88" s="61">
        <f>SUM(BLANCDEBUT:BLANCFIN!O88)</f>
        <v>0</v>
      </c>
      <c r="H88" s="12">
        <f t="shared" si="3"/>
        <v>0</v>
      </c>
      <c r="I88" s="12">
        <f t="shared" si="4"/>
        <v>0</v>
      </c>
      <c r="L88" s="5"/>
      <c r="M88" s="25"/>
    </row>
    <row r="89" spans="1:37" ht="128" x14ac:dyDescent="0.2">
      <c r="A89" s="14" t="s">
        <v>184</v>
      </c>
      <c r="B89" s="10" t="s">
        <v>185</v>
      </c>
      <c r="C89" s="10"/>
      <c r="D89" s="11">
        <v>0.75</v>
      </c>
      <c r="E89" s="66"/>
      <c r="F89" s="61">
        <f>SUM(DEBUT:FIN!O89)</f>
        <v>0</v>
      </c>
      <c r="G89" s="61">
        <f>SUM(BLANCDEBUT:BLANCFIN!O89)</f>
        <v>0</v>
      </c>
      <c r="H89" s="12">
        <f t="shared" si="3"/>
        <v>0</v>
      </c>
      <c r="I89" s="12">
        <f t="shared" si="4"/>
        <v>0</v>
      </c>
      <c r="L89" s="5"/>
      <c r="M89" s="25"/>
    </row>
    <row r="90" spans="1:37" ht="128" x14ac:dyDescent="0.2">
      <c r="A90" s="14" t="s">
        <v>186</v>
      </c>
      <c r="B90" s="14" t="s">
        <v>256</v>
      </c>
      <c r="C90" s="10"/>
      <c r="D90" s="11">
        <v>0.75</v>
      </c>
      <c r="E90" s="66"/>
      <c r="F90" s="61">
        <f>SUM(DEBUT:FIN!O90)</f>
        <v>0</v>
      </c>
      <c r="G90" s="61">
        <f>SUM(BLANCDEBUT:BLANCFIN!O90)</f>
        <v>0</v>
      </c>
      <c r="H90" s="12">
        <f t="shared" si="3"/>
        <v>0</v>
      </c>
      <c r="I90" s="12">
        <f t="shared" si="4"/>
        <v>0</v>
      </c>
      <c r="L90" s="5"/>
      <c r="M90" s="25"/>
    </row>
    <row r="92" spans="1:37" x14ac:dyDescent="0.2">
      <c r="G92" s="61" t="s">
        <v>114</v>
      </c>
      <c r="H92" s="12">
        <f>SUM(H4:H90)</f>
        <v>0</v>
      </c>
      <c r="I92" s="12">
        <f>SUM(I4:I90)</f>
        <v>0</v>
      </c>
    </row>
  </sheetData>
  <mergeCells count="1"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DEBUT</vt:lpstr>
      <vt:lpstr>LINÉAIRE  VERRE Base + 8</vt:lpstr>
      <vt:lpstr>LINÉAIREVERRE BASE + 9</vt:lpstr>
      <vt:lpstr>LINÉAIRE Métal base + 7</vt:lpstr>
      <vt:lpstr>LINÉAIRE MÉTAL Base + 8</vt:lpstr>
      <vt:lpstr>LINÉAIRE MÉTAL Base + 9</vt:lpstr>
      <vt:lpstr>EXTENSIBLES</vt:lpstr>
      <vt:lpstr>EXTENSIBLE GONDOLE SIMPLE  </vt:lpstr>
      <vt:lpstr>BACS SOLDEURS</vt:lpstr>
      <vt:lpstr>GONDOLE SIMPLE 1400</vt:lpstr>
      <vt:lpstr>GONDOLE SIMPLE 1600</vt:lpstr>
      <vt:lpstr>GONDOLE SIMPLE 1800</vt:lpstr>
      <vt:lpstr>GONDOLE DOUBLE 1400</vt:lpstr>
      <vt:lpstr>GONDOLE DOUBLE 1600</vt:lpstr>
      <vt:lpstr>GONDOLE DOUBLE 1800</vt:lpstr>
      <vt:lpstr>FIN</vt:lpstr>
      <vt:lpstr>BLANCDEBUT</vt:lpstr>
      <vt:lpstr>BLANC BB</vt:lpstr>
      <vt:lpstr>BLANC OTC</vt:lpstr>
      <vt:lpstr>BLANC EXTENSIBLE</vt:lpstr>
      <vt:lpstr>BLANC EXTENSIBLE GONDOLE</vt:lpstr>
      <vt:lpstr>BLANC BACS SOLDEURS </vt:lpstr>
      <vt:lpstr>BLANC GONDOLE SIMPLE 1400 </vt:lpstr>
      <vt:lpstr>BLANC GONDOLE SIMPLE 1600 </vt:lpstr>
      <vt:lpstr>BLANC GONDOLE SIMPLE 1800 </vt:lpstr>
      <vt:lpstr>BLANC GONDOLE DOUBLE 1400 </vt:lpstr>
      <vt:lpstr>BLANC GONDOLE DOUBLE 1600 </vt:lpstr>
      <vt:lpstr>BLANC GONDOLE DOUBLE 1800 </vt:lpstr>
      <vt:lpstr>BLANCFIN</vt:lpstr>
      <vt:lpstr>TOTAL 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Abdelkader Boukrourou</cp:lastModifiedBy>
  <dcterms:created xsi:type="dcterms:W3CDTF">2020-04-19T07:53:31Z</dcterms:created>
  <dcterms:modified xsi:type="dcterms:W3CDTF">2026-02-28T13:22:10Z</dcterms:modified>
</cp:coreProperties>
</file>